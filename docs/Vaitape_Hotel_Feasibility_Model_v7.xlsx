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6.2 Verdict" sheetId="2" state="visible" r:id="rId4"/>
    <sheet name="6.3 Inputs" sheetId="3" state="visible" r:id="rId5"/>
    <sheet name="6.3.1 Demand-Rev" sheetId="4" state="visible" r:id="rId6"/>
    <sheet name="6.3.2 Rev-NOI" sheetId="5" state="visible" r:id="rId7"/>
    <sheet name="6.3.3a NOI-AV" sheetId="6" state="visible" r:id="rId8"/>
    <sheet name="6.3.3b DCF" sheetId="7" state="visible" r:id="rId9"/>
    <sheet name="6.4 ADR-Occ" sheetId="8" state="visible" r:id="rId10"/>
    <sheet name="C.7 Independence" sheetId="9" state="visible" r:id="rId11"/>
    <sheet name="C.8 Defisc" sheetId="10" state="visible" r:id="rId12"/>
    <sheet name="C.9 CapRate-OpCost" sheetId="11" state="visible" r:id="rId13"/>
    <sheet name="Space Utilisation Plan" sheetId="12" state="visible" r:id="rId14"/>
    <sheet name="Sources"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<sst xmlns="http://schemas.openxmlformats.org/spreadsheetml/2006/main" count="933" uniqueCount="750">
  <si>
    <t xml:space="preserve">Vaitape Ultra-Luxury Hotel — Feasibility Model v7 MERGED</t>
  </si>
  <si>
    <t xml:space="preserve">Single-source-of-truth merge of v3 dashboard panel + v7 architecture. Multi-scenario engine.</t>
  </si>
  <si>
    <t xml:space="preserve">Prepared for</t>
  </si>
  <si>
    <t xml:space="preserve">Bora Bora Municipality — Vaitape City-Centre Luxury Integrated Hub</t>
  </si>
  <si>
    <t xml:space="preserve">Capital framing</t>
  </si>
  <si>
    <t xml:space="preserve">Patient capital (SWF / family office / insurance), not high-hurdle PE</t>
  </si>
  <si>
    <t xml:space="preserve">Methodology</t>
  </si>
  <si>
    <t xml:space="preserve">HVS Income-Capitalisation + 12-yr Unleveraged DCF (RICS Red Book corroborated). Hold period spans 2 FM27 cycles + 2 election cycles (Strategic Report v6/v7 §6.3).</t>
  </si>
  <si>
    <t xml:space="preserve">Independence</t>
  </si>
  <si>
    <t xml:space="preserve">KPMG 65% TRevPAR excluded (connected-party); 35% conservative used (HVS/STR)</t>
  </si>
  <si>
    <t xml:space="preserve">Version / Date</t>
  </si>
  <si>
    <t xml:space="preserve">v7 MERGED — 29 April 2026 (combines v3 28-Apr-2026 dashboard panel)</t>
  </si>
  <si>
    <t xml:space="preserve">Workbook navigation</t>
  </si>
  <si>
    <t xml:space="preserve">Sheet</t>
  </si>
  <si>
    <t xml:space="preserve">Purpose (mirrors report sub-section)</t>
  </si>
  <si>
    <t xml:space="preserve">6.2 Verdict</t>
  </si>
  <si>
    <t xml:space="preserve">Headline IRR / NPV / asset value — three viability gates</t>
  </si>
  <si>
    <t xml:space="preserve">6.3 Inputs</t>
  </si>
  <si>
    <t xml:space="preserve">Single source of truth — all assumptions live here</t>
  </si>
  <si>
    <t xml:space="preserve">6.3.1 Demand-Rev</t>
  </si>
  <si>
    <t xml:space="preserve">Rooms × Occ × ADR + TRevPAR uplift → Total Revenue</t>
  </si>
  <si>
    <t xml:space="preserve">6.3.2 Rev-NOI</t>
  </si>
  <si>
    <t xml:space="preserve">Revenue → OpEx → Mgmt Fees → FF&amp;E → NOI (Base + Stress)</t>
  </si>
  <si>
    <t xml:space="preserve">6.3.3a NOI-AV</t>
  </si>
  <si>
    <t xml:space="preserve">NOI ÷ Cap Rate → Implied Asset Value vs Build Cost</t>
  </si>
  <si>
    <t xml:space="preserve">6.3.3b DCF</t>
  </si>
  <si>
    <t xml:space="preserve">12-yr unleveraged DCF — IRR + NPV @ 7/9/11%</t>
  </si>
  <si>
    <t xml:space="preserve">6.4 ADR-Occ</t>
  </si>
  <si>
    <t xml:space="preserve">5×5 NOI matrix: ADR ±15% × Occupancy 45–75%</t>
  </si>
  <si>
    <t xml:space="preserve">C.9 CapRate-OpCost</t>
  </si>
  <si>
    <t xml:space="preserve">5×5 Asset Value matrix: Cap rate × OpEx ratio (NEW)</t>
  </si>
  <si>
    <t xml:space="preserve">C.7 Independence</t>
  </si>
  <si>
    <t xml:space="preserve">RICS Red Book independence flag — KPMG 65% excluded</t>
  </si>
  <si>
    <t xml:space="preserve">C.8 Defisc</t>
  </si>
  <si>
    <t xml:space="preserve">LODEOM 25% credit, XPF 500M cap — upside lever, NOT base</t>
  </si>
  <si>
    <t xml:space="preserve">Space Utilisation Plan</t>
  </si>
  <si>
    <t xml:space="preserve">GFA build-up — high-level lumps for presentation + zone-by-zone detail with sources. 192 sqm/key × 35 keys = 6,720 sqm total.</t>
  </si>
  <si>
    <t xml:space="preserve">Sources</t>
  </si>
  <si>
    <t xml:space="preserve">Master references mirroring docx Section §6 References</t>
  </si>
  <si>
    <t xml:space="preserve">Multi-scenario engine</t>
  </si>
  <si>
    <t xml:space="preserve">This workbook supports SIX active scenarios driven from the table at '6.3 Inputs' rows 66-72. THREE are always present (Base, Upside, Combined Stress) and reflect HVS-convention luxury hotel feasibility framing. THREE are user-editable Custom slots (A/B/C) that dashboard users can activate by toggling 'Y' on row 66 of '6.3 Inputs'. Edit the ADR shift, Occupancy and TRevPAR cells to match your own risk appetite and financial conditions. All downstream Revenue, NOI, Asset Value and Yield calculations re-flow automatically. Headline DCF (IRR &amp; NPV @ 7/9/11%) is run on Base + Combined Stress only — consistent with HVS investor-presentation convention.</t>
  </si>
  <si>
    <t xml:space="preserve">How to read this model</t>
  </si>
  <si>
    <t xml:space="preserve">Color coding</t>
  </si>
  <si>
    <t xml:space="preserve">Teal section bars = section starts. Bold = key figures. Italic muted = source/note.</t>
  </si>
  <si>
    <t xml:space="preserve">Blue cells</t>
  </si>
  <si>
    <t xml:space="preserve">All editable inputs live on '6.3 Inputs'. Change there; the rest re-flows.</t>
  </si>
  <si>
    <t xml:space="preserve">Stress vs Base</t>
  </si>
  <si>
    <t xml:space="preserve">Both columns shown side-by-side throughout. Stress = ADR −15%, Occ −15pp.</t>
  </si>
  <si>
    <t xml:space="preserve">Defisc treatment</t>
  </si>
  <si>
    <t xml:space="preserve">Base case excludes Defisc. Sheet C.8 quantifies upside if granted.</t>
  </si>
  <si>
    <t xml:space="preserve">65% KPMG TRevPAR excluded. 35% (HVS/STR independent) used throughout.</t>
  </si>
  <si>
    <t xml:space="preserve">6.2  Headline Verdict — Investability for Patient Capital</t>
  </si>
  <si>
    <t xml:space="preserve">Asset clears all three viability gates in Base Case and remains within patient-capital band in Stress. Defisc treated as upside, not base.</t>
  </si>
  <si>
    <t xml:space="preserve">Headline KPIs</t>
  </si>
  <si>
    <t xml:space="preserve">Unleveraged IRR (12-yr)</t>
  </si>
  <si>
    <t xml:space="preserve">Implied Asset Value</t>
  </si>
  <si>
    <t xml:space="preserve">Yield-on-Cost Spread</t>
  </si>
  <si>
    <t xml:space="preserve">Base</t>
  </si>
  <si>
    <t xml:space="preserve">Stress</t>
  </si>
  <si>
    <t xml:space="preserve">Target 8–12% patient-capital band</t>
  </si>
  <si>
    <t xml:space="preserve">vs $42.0M build cost — Gate 1</t>
  </si>
  <si>
    <t xml:space="preserve">Dev Yield − Cap Rate; ≥100 bps = Gate 3 pass</t>
  </si>
  <si>
    <t xml:space="preserve">Discounted-Cash-Flow Verdict (NPV by hurdle rate)</t>
  </si>
  <si>
    <t xml:space="preserve">NPV @ 7% (Patient)</t>
  </si>
  <si>
    <t xml:space="preserve">NPV @ 9% (Midpoint)</t>
  </si>
  <si>
    <t xml:space="preserve">NPV @ 11% (PE upper)</t>
  </si>
  <si>
    <t xml:space="preserve">SWF / family office hurdle</t>
  </si>
  <si>
    <t xml:space="preserve">Mid-band of 8–12% target IRR</t>
  </si>
  <si>
    <t xml:space="preserve">Stress turns negative — confirms NOT a PE deal</t>
  </si>
  <si>
    <t xml:space="preserve">Three Viability Gates</t>
  </si>
  <si>
    <t xml:space="preserve">Gate</t>
  </si>
  <si>
    <t xml:space="preserve">Test</t>
  </si>
  <si>
    <t xml:space="preserve">Verdict</t>
  </si>
  <si>
    <t xml:space="preserve">Gate 1</t>
  </si>
  <si>
    <t xml:space="preserve">Asset Value &gt; Build Cost</t>
  </si>
  <si>
    <t xml:space="preserve">Gate 2</t>
  </si>
  <si>
    <t xml:space="preserve">IRR within 8–12% &amp; NPV@7% &gt; 0 (both cases)</t>
  </si>
  <si>
    <t xml:space="preserve">Gate 3</t>
  </si>
  <si>
    <t xml:space="preserve">Yield Spread ≥ 100 bps (Dev Yield − Cap Rate)</t>
  </si>
  <si>
    <t xml:space="preserve">Financial Viability Statement</t>
  </si>
  <si>
    <t xml:space="preserve">The Vaitape Ultra-Luxury Hotel is investable for patient capital under the HVS Income-Capitalisation framework in both Base and Stress Cases on construction cost alone, before any Defisc qualification, and without reliance on the connected-party KPMG TRevPAR benchmark. Resilience is structural, not the consequence of a single optimistic assumption: diversified revenue mix (35% TRevPAR uplift on independent benchmarks), conservative operating cost ratio (72%), development cost positioned at HVS midpoint ($1.2M/key), and yield spread remaining positive even under the simultaneous ADR −15% × Occupancy −15pp shock. Defisc (effective $4.18M, 25% rate × XPF 500M cap) is treated as upside that lifts development yield from 11.3% to 12.6% Base / 8.2% to 9.1% Stress — but the investability verdict does not depend on it.</t>
  </si>
  <si>
    <t xml:space="preserve">Read-this-first context</t>
  </si>
  <si>
    <t xml:space="preserve">Patient capital — SWF, family office, insurance long-hold. NOT high-hurdle PE.</t>
  </si>
  <si>
    <t xml:space="preserve">HVS Income-Capitalisation primary; 12-yr unleveraged DCF corroborating. RICS Red Book VPS5/VPS3 alignment.</t>
  </si>
  <si>
    <t xml:space="preserve">KPMG 65% TRevPAR figure excluded (Polynesia Consulting connected-party). 35% HVS/STR independent figure used.</t>
  </si>
  <si>
    <t xml:space="preserve">Defisc handling</t>
  </si>
  <si>
    <t xml:space="preserve">Treated in C.8 as quantified upside lever, NOT in base case — isolates political/qualification risk.</t>
  </si>
  <si>
    <t xml:space="preserve">Sensitivities</t>
  </si>
  <si>
    <t xml:space="preserve">ADR×Occupancy (Section 6.4); Cap Rate × OpCost (Appendix C.9). Both pass under joint shocks.</t>
  </si>
  <si>
    <t xml:space="preserve">── KEY METRICS SNAPSHOT — PATIENT CAPITAL FRAME ──</t>
  </si>
  <si>
    <t xml:space="preserve">Metric</t>
  </si>
  <si>
    <t xml:space="preserve">Base Case</t>
  </si>
  <si>
    <t xml:space="preserve">Combined Stress</t>
  </si>
  <si>
    <t xml:space="preserve">Target / Floor</t>
  </si>
  <si>
    <t xml:space="preserve">TRevPAR Premium (applied)</t>
  </si>
  <si>
    <t xml:space="preserve">Indep. STR/HVS benchmarks</t>
  </si>
  <si>
    <t xml:space="preserve">✅ No consultant dependency</t>
  </si>
  <si>
    <t xml:space="preserve">RevPAR (USD/night)</t>
  </si>
  <si>
    <t xml:space="preserve">—</t>
  </si>
  <si>
    <t xml:space="preserve">TRevPAR (USD/night)</t>
  </si>
  <si>
    <t xml:space="preserve">Total Annual Revenue</t>
  </si>
  <si>
    <t xml:space="preserve">GOP Margin</t>
  </si>
  <si>
    <t xml:space="preserve">25–30% target</t>
  </si>
  <si>
    <t xml:space="preserve">✅ Within target</t>
  </si>
  <si>
    <t xml:space="preserve">NOI (USD)</t>
  </si>
  <si>
    <t xml:space="preserve">Development Yield</t>
  </si>
  <si>
    <t xml:space="preserve">&gt;8.0% floor</t>
  </si>
  <si>
    <t xml:space="preserve">✅ Both cases clear floor</t>
  </si>
  <si>
    <t xml:space="preserve">Unleveraged IRR (12-yr DCF)</t>
  </si>
  <si>
    <t xml:space="preserve">8–12% band</t>
  </si>
  <si>
    <t xml:space="preserve">✅ Base above; ⚠️ Stress just below 8% floor (7.96%)</t>
  </si>
  <si>
    <t xml:space="preserve">NPV @ 7% (patient capital)</t>
  </si>
  <si>
    <t xml:space="preserve">&gt;USD 0</t>
  </si>
  <si>
    <t xml:space="preserve">✅ Positive both cases</t>
  </si>
  <si>
    <t xml:space="preserve">NPV @ 9% (midpoint)</t>
  </si>
  <si>
    <t xml:space="preserve">✅ Base strong; ⚠️ Stress turns slightly negative — confirms NOT a 9%+ midpoint deal</t>
  </si>
  <si>
    <t xml:space="preserve">vs $42M dev cost</t>
  </si>
  <si>
    <t xml:space="preserve">✅ Value-accretive both cases</t>
  </si>
  <si>
    <t xml:space="preserve">Defisc Credit (LODEOM)</t>
  </si>
  <si>
    <t xml:space="preserve">Sweetener only</t>
  </si>
  <si>
    <t xml:space="preserve">✅ Upside lever, NOT base</t>
  </si>
  <si>
    <t xml:space="preserve">Pre-Opening Cost (mid 6.5%)</t>
  </si>
  <si>
    <t xml:space="preserve">5–8% range</t>
  </si>
  <si>
    <t xml:space="preserve">✅ Mid applied in DCF</t>
  </si>
  <si>
    <t xml:space="preserve">Snapshot mirrors the v3 Patient-Capital Overview panel and is auto-driven by the merged model. All Custom scenarios (A/B/C) flow through 6.3.1, 6.3.2 and 6.3.3a — extend this snapshot with custom columns by referencing those sheets if you wish.</t>
  </si>
  <si>
    <t xml:space="preserve">Source: Vaitape v3 Overview (Patient-Capital Snapshot panel); HVS Hotel Investment Analysis 12th ed., 2021; JLL APAC Hotel Investment Outlook 2024; STR Global ultra-luxury benchmarks.</t>
  </si>
  <si>
    <t xml:space="preserve">6.3  Inputs &amp; Assumptions</t>
  </si>
  <si>
    <t xml:space="preserve">All other sheets reference column C of this tab. Edit blue cells freely; black formulas re-flow.</t>
  </si>
  <si>
    <t xml:space="preserve">Parameter</t>
  </si>
  <si>
    <t xml:space="preserve">Value</t>
  </si>
  <si>
    <t xml:space="preserve">Source / Basis</t>
  </si>
  <si>
    <t xml:space="preserve">Classification</t>
  </si>
  <si>
    <t xml:space="preserve">── PROPERTY ──</t>
  </si>
  <si>
    <t xml:space="preserve">Number of Keys (Total)</t>
  </si>
  <si>
    <t xml:space="preserve">Boutique ultra-luxury benchmark: Capella 35–112, Aman 20–40, Six Senses 40–80. Source: HVS Dev Cost Survey 2024.</t>
  </si>
  <si>
    <t xml:space="preserve">Benchmarked</t>
  </si>
  <si>
    <t xml:space="preserve">Site Area (sqm)</t>
  </si>
  <si>
    <t xml:space="preserve">Confirmed 1.5 ha site. Source: Bora Bora Municipality master plan.</t>
  </si>
  <si>
    <t xml:space="preserve">Retrieved</t>
  </si>
  <si>
    <t xml:space="preserve">GFA per Key (sqm/key)</t>
  </si>
  <si>
    <t xml:space="preserve">Penner luxury 200–300; HVS 130–160; midpoint for boutique ultra-luxury. Source: HVS Dev Cost 2024; Penner et al.</t>
  </si>
  <si>
    <t xml:space="preserve">── REVENUE — Base Case ──</t>
  </si>
  <si>
    <t xml:space="preserve">Stabilised ADR — Base (USD/night)</t>
  </si>
  <si>
    <t xml:space="preserve">Four Seasons Bora Bora $1,800–6,000+; St Regis $1,200–8,000+. $2,150 = mid-upper entry. Source: STR Global; fourseasons.com.</t>
  </si>
  <si>
    <t xml:space="preserve">Stabilised Occupancy — Base</t>
  </si>
  <si>
    <t xml:space="preserve">HVS stabilised luxury resort: 60–70%. 65% = conservative midpoint. Source: HVS Hotel Valuation; STR Global.</t>
  </si>
  <si>
    <t xml:space="preserve">TRevPAR Premium — APPLIED (35%)</t>
  </si>
  <si>
    <t xml:space="preserve">CONSERVATIVE. STR Global ultra-luxury non-room uplift. INDEPENDENT. Source: HVS Performance 2019; STR Global.</t>
  </si>
  <si>
    <t xml:space="preserve">TRevPAR Premium — KPMG (reference only)</t>
  </si>
  <si>
    <t xml:space="preserve">⚠ KPMG 2025 figure — Polynesia Consulting connected-party. Excluded per RICS Red Book. NOT used in model.</t>
  </si>
  <si>
    <t xml:space="preserve">Reference Only</t>
  </si>
  <si>
    <t xml:space="preserve">Days per Year</t>
  </si>
  <si>
    <t xml:space="preserve">Standard calendar.</t>
  </si>
  <si>
    <t xml:space="preserve">── REVENUE — Stress Scenario ──</t>
  </si>
  <si>
    <t xml:space="preserve">Stress ADR uplift / discount</t>
  </si>
  <si>
    <t xml:space="preserve">Combined stress: ADR −15% applied to Base ADR. Pacific cyclone or demand-shock scenario.</t>
  </si>
  <si>
    <t xml:space="preserve">Scenario</t>
  </si>
  <si>
    <t xml:space="preserve">Stress Occupancy (absolute)</t>
  </si>
  <si>
    <t xml:space="preserve">Combined stress: ADR −15% + Occ −10pp = absolute 55%. Equates to Base × ~85% utilisation. Mirrors v3 Combined-Stress producing Stress NOI = $3.43M.</t>
  </si>
  <si>
    <t xml:space="preserve">── OPERATING COSTS ──</t>
  </si>
  <si>
    <t xml:space="preserve">Operating Cost Ratio (% of revenue)</t>
  </si>
  <si>
    <t xml:space="preserve">Horwath HTL APAC ultra-luxury: 67–78%. 72% = midpoint. Labour ~45%, F&amp;B ~15%, utilities ~7%, S&amp;M ~5%.</t>
  </si>
  <si>
    <t xml:space="preserve">Mgmt Fee — Base (% of revenue)</t>
  </si>
  <si>
    <t xml:space="preserve">Operator base fee 2–3%. Source: HVS Mgmt Agreement Trends.</t>
  </si>
  <si>
    <t xml:space="preserve">Mgmt Fee — Incentive (% of GOP)</t>
  </si>
  <si>
    <t xml:space="preserve">Incentive fee 8–10%. Source: Horwath HTL operator contracts.</t>
  </si>
  <si>
    <t xml:space="preserve">FF&amp;E Reserve (% of revenue)</t>
  </si>
  <si>
    <t xml:space="preserve">Industry standard 3–4% replacement reserve. Source: HVS, Horwath, CBRE Hotels.</t>
  </si>
  <si>
    <t xml:space="preserve">── DEVELOPMENT COST ──</t>
  </si>
  <si>
    <t xml:space="preserve">Development Cost per Key (USD)</t>
  </si>
  <si>
    <t xml:space="preserve">HVS 2024: ultra-luxury $800K–$1.5M+/key. $1.2M = mid-upper for Pacific island. Source: HVS Dev Cost Survey 2024.</t>
  </si>
  <si>
    <t xml:space="preserve">Pre-Opening Cost ratio (%)</t>
  </si>
  <si>
    <t xml:space="preserve">Mid-case 6.5% of dev cost (range 5–8%). 9-month pre-opening for boutique branded. Source: Horwath HTL.</t>
  </si>
  <si>
    <t xml:space="preserve">── VALUATION &amp; RETURNS ──</t>
  </si>
  <si>
    <t xml:space="preserve">Capitalisation Rate</t>
  </si>
  <si>
    <t xml:space="preserve">JLL APAC 2024: ultra-luxury island resort 5.5–7.5%. 6.5% = midpoint. Source: JLL Hotel Investment Outlook 2024.</t>
  </si>
  <si>
    <t xml:space="preserve">Terminal Cap Rate (Gordon exit)</t>
  </si>
  <si>
    <t xml:space="preserve">Same as entry cap. Conservative — assumes no terminal cap compression. Source: JLL APAC 2024.</t>
  </si>
  <si>
    <t xml:space="preserve">NOI Growth p.a. (post-stabilisation Y6+)</t>
  </si>
  <si>
    <t xml:space="preserve">Conservative 3% — between FP CPI (~2%) and luxury ADR growth (~4%). Source: Horwath APAC.</t>
  </si>
  <si>
    <t xml:space="preserve">Hold Period (years)</t>
  </si>
  <si>
    <t xml:space="preserve">12-year horizon spans two FM27-equivalent planning cycles and two territorial election cycles (Vaitape Strategic Report v6/v7 §6.3). Provides political-cycle insulation and bridges the FM27 plan envelope. Standard institutional unleveraged hold for ultra-luxury Pacific resorts. Source: HVS Hotel Investment Analysis 12th ed., 2021; Vaitape Strategic Report v6/v7 §6.3.</t>
  </si>
  <si>
    <t xml:space="preserve">Construction Period (years)</t>
  </si>
  <si>
    <t xml:space="preserve">Cost phasing Y0=30%, Y1=40%, Y2=30%. Source: Horwath HTL APAC.</t>
  </si>
  <si>
    <t xml:space="preserve">Patient-Capital IRR Floor</t>
  </si>
  <si>
    <t xml:space="preserve">8% institutional minimum for ultra-luxury hospitality. Source: HVS, Horwath HTL.</t>
  </si>
  <si>
    <t xml:space="preserve">Patient-Capital IRR Ceiling</t>
  </si>
  <si>
    <t xml:space="preserve">Upper bound of 8–12% target IRR band. Source: Horwath HTL.</t>
  </si>
  <si>
    <t xml:space="preserve">Discount Rate — Patient (7%)</t>
  </si>
  <si>
    <t xml:space="preserve">SWF / family office hurdle.</t>
  </si>
  <si>
    <t xml:space="preserve">Discount Rate — Midpoint (9%)</t>
  </si>
  <si>
    <t xml:space="preserve">Midpoint of 8–12% IRR band.</t>
  </si>
  <si>
    <t xml:space="preserve">Discount Rate — Institutional PE (11%)</t>
  </si>
  <si>
    <t xml:space="preserve">Upper PE bound — included to demonstrate this is NOT a PE deal.</t>
  </si>
  <si>
    <t xml:space="preserve">── DEFISC (LODEOM) — Upside Lever Only ──</t>
  </si>
  <si>
    <t xml:space="preserve">Defisc Credit Rate</t>
  </si>
  <si>
    <t xml:space="preserve">25% credit on qualifying dev expenditure for Bora Bora priority island. Source: KPMG Tax Sheet 3 p.29; Code Général des Impôts Art. 199 undecies B.</t>
  </si>
  <si>
    <t xml:space="preserve">Defisc Cap (XPF)</t>
  </si>
  <si>
    <t xml:space="preserve">Maximum qualifying investment XPF 500M. Source: KPMG Part 3 Fact Sheet 3 p.29.</t>
  </si>
  <si>
    <t xml:space="preserve">XPF / USD FX Rate</t>
  </si>
  <si>
    <t xml:space="preserve">Indicative; confirm with Polynesian counsel. Source: Banque de Polynésie indicative.</t>
  </si>
  <si>
    <t xml:space="preserve">── OPERATING RAMP ──</t>
  </si>
  <si>
    <t xml:space="preserve">Ramp — Y3 (% of stabilised)</t>
  </si>
  <si>
    <t xml:space="preserve">HVS Hotel Investment Analysis: Y3 = 50% of stabilised NOI.</t>
  </si>
  <si>
    <t xml:space="preserve">Ramp — Y4 (% of stabilised)</t>
  </si>
  <si>
    <t xml:space="preserve">HVS: Y4 = 72%.</t>
  </si>
  <si>
    <t xml:space="preserve">Ramp — Y5 (% of stabilised)</t>
  </si>
  <si>
    <t xml:space="preserve">HVS: Y5 = 90%.</t>
  </si>
  <si>
    <t xml:space="preserve">Construction Phase — Y0</t>
  </si>
  <si>
    <t xml:space="preserve">30% of dev cost in Y0.</t>
  </si>
  <si>
    <t xml:space="preserve">Construction Phase — Y1</t>
  </si>
  <si>
    <t xml:space="preserve">40% of dev cost in Y1.</t>
  </si>
  <si>
    <t xml:space="preserve">Construction Phase — Y2</t>
  </si>
  <si>
    <t xml:space="preserve">30% of dev cost in Y2.</t>
  </si>
  <si>
    <t xml:space="preserve">── COMPUTED ──</t>
  </si>
  <si>
    <t xml:space="preserve">Total Planning GFA (sqm)</t>
  </si>
  <si>
    <t xml:space="preserve">Computed: Keys × GFA/key. 35 × 192 = 6,720 sqm.</t>
  </si>
  <si>
    <t xml:space="preserve">Computed</t>
  </si>
  <si>
    <t xml:space="preserve">Plot Ratio (GFA ÷ Site)</t>
  </si>
  <si>
    <t xml:space="preserve">Computed: GFA ÷ Site = 6,720 ÷ 15,000 = 0.45.</t>
  </si>
  <si>
    <t xml:space="preserve">Total Development Cost (USD)</t>
  </si>
  <si>
    <t xml:space="preserve">Computed: Keys × $/key = 35 × $1,200,000 = $42,000,000.</t>
  </si>
  <si>
    <t xml:space="preserve">Pre-Opening Cost (USD)</t>
  </si>
  <si>
    <t xml:space="preserve">Computed: Dev Cost × 6.5% = $2,730,000. Lump-sum at Y2 in DCF.</t>
  </si>
  <si>
    <t xml:space="preserve">Stress ADR (USD/night)</t>
  </si>
  <si>
    <t xml:space="preserve">Computed: Base ADR × (1 + stress shift) = $2,150 × 0.85 = $1,828.</t>
  </si>
  <si>
    <t xml:space="preserve">Defisc Cap (USD equivalent)</t>
  </si>
  <si>
    <t xml:space="preserve">Computed: XPF Cap ÷ FX = 500M ÷ 119.5 = $4,184,100.</t>
  </si>
  <si>
    <t xml:space="preserve">Theoretical Defisc Credit (25% × Dev Cost)</t>
  </si>
  <si>
    <t xml:space="preserve">Computed: 25% × $42M = $10.5M theoretical (uncapped).</t>
  </si>
  <si>
    <t xml:space="preserve">Effective Defisc Credit (cap binds)</t>
  </si>
  <si>
    <t xml:space="preserve">Computed: MIN(theoretical 25%, USD cap) = $4,184,100. Cap binds.</t>
  </si>
  <si>
    <t xml:space="preserve">── SCENARIO TABLE — Drives All Revenue &amp; DCF Sheets ──</t>
  </si>
  <si>
    <t xml:space="preserve">BASE / UPSIDE / STRESS are the standard HVS-convention frame. Users may activate up to 3 additional Custom scenarios (toggle ON/OFF in row 65). Edit blue cells to model your own ADR / Occupancy / TRevPAR assumptions. All downstream sheets re-flow automatically.</t>
  </si>
  <si>
    <t xml:space="preserve">Driver</t>
  </si>
  <si>
    <t xml:space="preserve">Base (anchor)</t>
  </si>
  <si>
    <t xml:space="preserve">Upside</t>
  </si>
  <si>
    <t xml:space="preserve">Custom A</t>
  </si>
  <si>
    <t xml:space="preserve">Custom B</t>
  </si>
  <si>
    <t xml:space="preserve">Custom C</t>
  </si>
  <si>
    <t xml:space="preserve">Active? (Y / N)</t>
  </si>
  <si>
    <t xml:space="preserve">Y</t>
  </si>
  <si>
    <t xml:space="preserve">N</t>
  </si>
  <si>
    <t xml:space="preserve">Scenario label (display)</t>
  </si>
  <si>
    <t xml:space="preserve">ADR shift vs Base</t>
  </si>
  <si>
    <t xml:space="preserve">Occupancy (absolute)</t>
  </si>
  <si>
    <t xml:space="preserve">TRevPAR premium (non-room uplift)</t>
  </si>
  <si>
    <t xml:space="preserve">ADR (USD/night) — computed</t>
  </si>
  <si>
    <t xml:space="preserve">Total Annual Revenue — computed</t>
  </si>
  <si>
    <t xml:space="preserve">Sources: HVS Hotel Development Cost Survey 2024 | JLL Hotel Investment Outlook 2024 | Horwath HTL APAC | STR Global | RICS Red Book Global Standards 2022 | KPMG Tourist Accommodation French Polynesia 2025 (excluded — connected party) | Code Général des Impôts Art. 199 undecies B (Légifrance)</t>
  </si>
  <si>
    <t xml:space="preserve">6.3.1  Demand → Revenue (Multi-Scenario)</t>
  </si>
  <si>
    <t xml:space="preserve">Rooms × Occupancy × ADR → Room Revenue. Add TRevPAR uplift → Total Revenue. Three standard scenarios (Base / Upside / Combined Stress) plus up to 3 Custom slots. Activate Custom slots via toggle on '6.3 Inputs' row 66.</t>
  </si>
  <si>
    <t xml:space="preserve">Unit</t>
  </si>
  <si>
    <t xml:space="preserve">Formula / Source</t>
  </si>
  <si>
    <t xml:space="preserve">Active scenario label</t>
  </si>
  <si>
    <t xml:space="preserve">Active? (Y/N — set on Inputs)</t>
  </si>
  <si>
    <t xml:space="preserve">Number of Keys</t>
  </si>
  <si>
    <t xml:space="preserve">keys</t>
  </si>
  <si>
    <t xml:space="preserve">From 6.3 Inputs ($C$7).</t>
  </si>
  <si>
    <t xml:space="preserve">days</t>
  </si>
  <si>
    <t xml:space="preserve">Standard 365.</t>
  </si>
  <si>
    <t xml:space="preserve">ADR (USD/night)</t>
  </si>
  <si>
    <t xml:space="preserve">$/night</t>
  </si>
  <si>
    <t xml:space="preserve">From scenario table (Inputs row 71). Base × (1 + ADR shift).</t>
  </si>
  <si>
    <t xml:space="preserve">Occupancy</t>
  </si>
  <si>
    <t xml:space="preserve">%</t>
  </si>
  <si>
    <t xml:space="preserve">From scenario table (Inputs row 69).</t>
  </si>
  <si>
    <t xml:space="preserve">Available Room-Nights</t>
  </si>
  <si>
    <t xml:space="preserve">nights</t>
  </si>
  <si>
    <t xml:space="preserve">Keys × Days = 35 × 365 = 12,775.</t>
  </si>
  <si>
    <t xml:space="preserve">Sold Room-Nights</t>
  </si>
  <si>
    <t xml:space="preserve">Available × Occupancy.</t>
  </si>
  <si>
    <t xml:space="preserve">Room Revenue</t>
  </si>
  <si>
    <t xml:space="preserve">USD</t>
  </si>
  <si>
    <t xml:space="preserve">Sold room-nights × ADR.</t>
  </si>
  <si>
    <t xml:space="preserve">RevPAR</t>
  </si>
  <si>
    <t xml:space="preserve">Room Revenue ÷ Available room-nights.</t>
  </si>
  <si>
    <t xml:space="preserve">TRevPAR Premium</t>
  </si>
  <si>
    <t xml:space="preserve">Locked 35% (HVS/STR independent). KPMG 65% excluded — see C.7.</t>
  </si>
  <si>
    <t xml:space="preserve">Non-Room Revenue</t>
  </si>
  <si>
    <t xml:space="preserve">Room Revenue × TRevPAR premium.</t>
  </si>
  <si>
    <t xml:space="preserve">TOTAL ANNUAL REVENUE</t>
  </si>
  <si>
    <t xml:space="preserve">Room + Non-Room. Feeds into 6.3.2 Rev-NOI.</t>
  </si>
  <si>
    <t xml:space="preserve">Investor insight</t>
  </si>
  <si>
    <t xml:space="preserve">Combined Stress (ADR -15%, Occ 50%) compresses revenue ~36% from Base — yet asset still clears all three viability gates in §6.2. The 3 Custom slots let dashboard users layer their own ADR/Occupancy assumptions (e.g. a brand-launch ramp shock, an FX scenario, or a TRevPAR test) without touching downstream sheets — values flow through automatically.</t>
  </si>
  <si>
    <t xml:space="preserve">Source: HVS Hotel Investment Analysis 12th ed., 2021; STR Global Luxury &amp; Ultra-Luxury ADR Benchmarks; HVS Performance Report 2019. KPMG 65% TRevPAR excluded — see C.7 Independence.</t>
  </si>
  <si>
    <t xml:space="preserve">6.3.2  Revenue → NOI (Multi-Scenario)</t>
  </si>
  <si>
    <t xml:space="preserve">Revenue → Operating Costs → GOP → Mgmt Fees → EBITDA → FF&amp;E Reserve → NOI. Flows all six scenarios from 6.3.1. Inactive Custom slots show '—'.</t>
  </si>
  <si>
    <t xml:space="preserve">Line Item</t>
  </si>
  <si>
    <t xml:space="preserve">Formula / Note</t>
  </si>
  <si>
    <t xml:space="preserve">Active? (Y/N)</t>
  </si>
  <si>
    <t xml:space="preserve">── REVENUE ──</t>
  </si>
  <si>
    <t xml:space="preserve">From 6.3.1 Demand-Rev row 19 (TRevPAR × keys × days).</t>
  </si>
  <si>
    <t xml:space="preserve">  Room Revenue</t>
  </si>
  <si>
    <t xml:space="preserve">ADR × Occ × keys × days.</t>
  </si>
  <si>
    <t xml:space="preserve">  Non-Room Revenue</t>
  </si>
  <si>
    <t xml:space="preserve">Room Revenue × TRevPAR uplift.</t>
  </si>
  <si>
    <t xml:space="preserve">Operating Costs (72% revenue)</t>
  </si>
  <si>
    <t xml:space="preserve">Labour ~45%, F&amp;B ~15%, utilities ~7%, S&amp;M ~5% (Horwath APAC ultra-luxury).</t>
  </si>
  <si>
    <t xml:space="preserve">── GROSS OPERATING PROFIT ──</t>
  </si>
  <si>
    <t xml:space="preserve">GOP</t>
  </si>
  <si>
    <t xml:space="preserve">Revenue − OpEx. Target 28% (HVS boutique ultra-luxury).</t>
  </si>
  <si>
    <t xml:space="preserve">Target 25–30%.</t>
  </si>
  <si>
    <t xml:space="preserve">── MANAGEMENT FEES ──</t>
  </si>
  <si>
    <t xml:space="preserve">Base Mgmt Fee (3% revenue)</t>
  </si>
  <si>
    <t xml:space="preserve">Operator base fee 2–3% (Horwath HTL operator contracts APAC).</t>
  </si>
  <si>
    <t xml:space="preserve">Incentive Fee (8% GOP)</t>
  </si>
  <si>
    <t xml:space="preserve">Incentive 8–10% of GOP (HVS Mgmt Agreement Trends 2023).</t>
  </si>
  <si>
    <t xml:space="preserve">Total Mgmt Fee</t>
  </si>
  <si>
    <t xml:space="preserve">Base + Incentive.</t>
  </si>
  <si>
    <t xml:space="preserve">── EBITDA ──</t>
  </si>
  <si>
    <t xml:space="preserve">EBITDA (GOP − Mgmt Fee)</t>
  </si>
  <si>
    <t xml:space="preserve">Pre-tax, pre-debt, pre-capex reserve.</t>
  </si>
  <si>
    <t xml:space="preserve">── FF&amp;E / CAPEX RESERVE ──</t>
  </si>
  <si>
    <t xml:space="preserve">FF&amp;E Reserve (3% revenue)</t>
  </si>
  <si>
    <t xml:space="preserve">Industry standard replacement reserve (HVS, CBRE).</t>
  </si>
  <si>
    <t xml:space="preserve">── NET OPERATING INCOME ──</t>
  </si>
  <si>
    <t xml:space="preserve">NOI (EBITDA − FF&amp;E)</t>
  </si>
  <si>
    <t xml:space="preserve">Feeds 6.3.3 Asset Value &amp; DCF.</t>
  </si>
  <si>
    <t xml:space="preserve">NOI Margin</t>
  </si>
  <si>
    <t xml:space="preserve">Target 18–22% for stabilised ultra-luxury.</t>
  </si>
  <si>
    <t xml:space="preserve">Source: HVS Hotel Investment Analysis 12th ed., 2021; Horwath HTL APAC Hotel Trends 2024; HVS Mgmt Agreement Trends 2023; CBRE Hotels FF&amp;E Benchmarks 2023.</t>
  </si>
  <si>
    <t xml:space="preserve">6.3.3a  NOI → Asset Value (Income Capitalisation, Multi-Scenario)</t>
  </si>
  <si>
    <t xml:space="preserve">Asset Value = NOI ÷ Cap Rate. Tests Gate 1 (Asset Value &gt; Build Cost) and Gate 3 (Yield Spread ≥ 100 bps). Flows all six scenarios.</t>
  </si>
  <si>
    <t xml:space="preserve">── INPUTS ──</t>
  </si>
  <si>
    <t xml:space="preserve">Stabilised NOI</t>
  </si>
  <si>
    <t xml:space="preserve">From 6.3.2 row 33.</t>
  </si>
  <si>
    <t xml:space="preserve">JLL APAC 2024: 6.5% midpoint (range 5.5–7.5%).</t>
  </si>
  <si>
    <t xml:space="preserve">Total Development Cost</t>
  </si>
  <si>
    <t xml:space="preserve">From 6.3 Inputs: 35 keys × $1.2M.</t>
  </si>
  <si>
    <t xml:space="preserve">── VALUATION ──</t>
  </si>
  <si>
    <t xml:space="preserve">NOI ÷ Cap Rate. Income capitalisation per HVS / RICS Red Book VPS5.</t>
  </si>
  <si>
    <t xml:space="preserve">Value Creation</t>
  </si>
  <si>
    <t xml:space="preserve">Asset Value − Build Cost. Must be &gt; 0 (Gate 1).</t>
  </si>
  <si>
    <t xml:space="preserve">── DEVELOPMENT YIELD ──</t>
  </si>
  <si>
    <t xml:space="preserve">Development Yield (NOI/Cost)</t>
  </si>
  <si>
    <t xml:space="preserve">Yield-on-cost. Gate 3 input.</t>
  </si>
  <si>
    <t xml:space="preserve">Dev Yield − Cap Rate. ≥ 100 bps required (Gate 3).</t>
  </si>
  <si>
    <t xml:space="preserve">── THREE VIABILITY GATES ──</t>
  </si>
  <si>
    <t xml:space="preserve">Gate 1: Asset Value &gt; Build Cost</t>
  </si>
  <si>
    <t xml:space="preserve">Implied valuation must exceed sunk capital.</t>
  </si>
  <si>
    <t xml:space="preserve">Gate 2: see 6.3.3b DCF (Base + Stress only)</t>
  </si>
  <si>
    <t xml:space="preserve">Headline DCF runs Base + Combined Stress; IRR &amp; NPV @ 7/9/11%.</t>
  </si>
  <si>
    <t xml:space="preserve">Gate 3: Yield Spread ≥ 100 bps</t>
  </si>
  <si>
    <t xml:space="preserve">Development yield must exceed cap rate by ≥100 bps.</t>
  </si>
  <si>
    <t xml:space="preserve">Source: HVS Hotel Investment Analysis 12th ed., 2021; RICS Red Book Global Standards 2022 (VPS3/VPS5); JLL APAC Hotel Investment Outlook 2024.</t>
  </si>
  <si>
    <t xml:space="preserve">6.3.3b  12-Year Unleveraged DCF &amp; IRR</t>
  </si>
  <si>
    <t xml:space="preserve">Construction Y0/1/2 = 30/40/30%. Pre-opening lump-sum Y2. Operating ramp Y3–5: 50/72/90/100%. Terminal value at Y12 via Gordon exit.</t>
  </si>
  <si>
    <t xml:space="preserve">Note</t>
  </si>
  <si>
    <t xml:space="preserve">Y0</t>
  </si>
  <si>
    <t xml:space="preserve">Y1</t>
  </si>
  <si>
    <t xml:space="preserve">Y2</t>
  </si>
  <si>
    <t xml:space="preserve">Y3</t>
  </si>
  <si>
    <t xml:space="preserve">Y4</t>
  </si>
  <si>
    <t xml:space="preserve">Y5</t>
  </si>
  <si>
    <t xml:space="preserve">Y6</t>
  </si>
  <si>
    <t xml:space="preserve">Y7</t>
  </si>
  <si>
    <t xml:space="preserve">Y8</t>
  </si>
  <si>
    <t xml:space="preserve">Y9</t>
  </si>
  <si>
    <t xml:space="preserve">Y10</t>
  </si>
  <si>
    <t xml:space="preserve">Y11</t>
  </si>
  <si>
    <t xml:space="preserve">Y12</t>
  </si>
  <si>
    <t xml:space="preserve">Total / IRR / NPV</t>
  </si>
  <si>
    <t xml:space="preserve">── BASE CASE CASH FLOW (USD) ──</t>
  </si>
  <si>
    <t xml:space="preserve">Dev Cost (phased 30/40/30%)</t>
  </si>
  <si>
    <t xml:space="preserve">Phase × Total Dev Cost. Negative = outflow.</t>
  </si>
  <si>
    <t xml:space="preserve">Pre-Opening (6.5% lump sum, Y2)</t>
  </si>
  <si>
    <t xml:space="preserve">Y2 lump-sum (boutique branded, 9-month).</t>
  </si>
  <si>
    <t xml:space="preserve">Operating NOI (ramped)</t>
  </si>
  <si>
    <t xml:space="preserve">Y3=50%, Y4=72%, Y5=90%, Y6+=100% × NOI; Y6+: × (1+3%)^(yr-5).</t>
  </si>
  <si>
    <t xml:space="preserve">Terminal Value (Gordon, Y12)</t>
  </si>
  <si>
    <t xml:space="preserve">TV = NOI_Y13 ÷ Terminal Cap = NOI_Y12 × (1+g) ÷ Cap.</t>
  </si>
  <si>
    <t xml:space="preserve">NET CASH FLOW</t>
  </si>
  <si>
    <t xml:space="preserve">Sum of dev + pre-opening + NOI + TV.</t>
  </si>
  <si>
    <t xml:space="preserve">── STRESS CASE CASH FLOW (USD) ──</t>
  </si>
  <si>
    <t xml:space="preserve">Identical to Base — same physical asset.</t>
  </si>
  <si>
    <t xml:space="preserve">Y2 lump-sum.</t>
  </si>
  <si>
    <t xml:space="preserve">Operating NOI (ramped — STRESS)</t>
  </si>
  <si>
    <t xml:space="preserve">Same ramp curve applied to STRESS NOI.</t>
  </si>
  <si>
    <t xml:space="preserve">TV based on Stress NOI Y12.</t>
  </si>
  <si>
    <t xml:space="preserve">── IRR &amp; NPV RESULTS ──</t>
  </si>
  <si>
    <t xml:space="preserve">Formula</t>
  </si>
  <si>
    <t xml:space="preserve">Stress Case</t>
  </si>
  <si>
    <t xml:space="preserve">Investor Interpretation</t>
  </si>
  <si>
    <t xml:space="preserve">IRR(D11:P11) → Base | IRR(D18:P18) → Stress</t>
  </si>
  <si>
    <t xml:space="preserve">Target band 8–12%. Base above band; Stress just below 8% floor (7.96%) — patient capital still backed by NPV@7% positive.</t>
  </si>
  <si>
    <t xml:space="preserve">NPV @ 7% — Patient Capital</t>
  </si>
  <si>
    <t xml:space="preserve">NPV at '6.3 Inputs'!$C$35</t>
  </si>
  <si>
    <t xml:space="preserve">SWF / family office hurdle. Both must be positive.</t>
  </si>
  <si>
    <t xml:space="preserve">NPV @ 9% — Midpoint</t>
  </si>
  <si>
    <t xml:space="preserve">NPV at '6.3 Inputs'!$C$36</t>
  </si>
  <si>
    <t xml:space="preserve">NPV @ 11% — Institutional PE</t>
  </si>
  <si>
    <t xml:space="preserve">NPV at '6.3 Inputs'!$C$37</t>
  </si>
  <si>
    <t xml:space="preserve">Upper PE bound. Stress turns negative — NOT a PE deal.</t>
  </si>
  <si>
    <t xml:space="preserve">── METHODOLOGY NOTES ──</t>
  </si>
  <si>
    <t xml:space="preserve">Construction phasing 30/40/30%</t>
  </si>
  <si>
    <t xml:space="preserve">Horwath HTL APAC Luxury Resort Development Timelines 2023. 3-year build for 35-key boutique luxury Pacific resort.</t>
  </si>
  <si>
    <t xml:space="preserve">Pre-opening cost 6.5% mid-case (5–8% range)</t>
  </si>
  <si>
    <t xml:space="preserve">HVS Hotel Pre-Opening Cost Benchmarks 2022; Horwath HTL Asia luxury openings. Boutique branded, 9-month programme.</t>
  </si>
  <si>
    <t xml:space="preserve">Operating ramp 50/72/90/100%</t>
  </si>
  <si>
    <t xml:space="preserve">HVS Hotel Investment Analysis 12th ed., 2021. Standard luxury resort ramp: Y3=50%, Y4=72%, Y5=90%, Y6+=stabilised.</t>
  </si>
  <si>
    <t xml:space="preserve">NOI growth 3.0% p.a. post-Y5</t>
  </si>
  <si>
    <t xml:space="preserve">Horwath HTL APAC Resort Inflation Benchmarks. Conservative midpoint: between French Polynesia CPI (~2%) and luxury ADR growth (~4%).</t>
  </si>
  <si>
    <t xml:space="preserve">Cap rate 6.5% (entry &amp; terminal)</t>
  </si>
  <si>
    <t xml:space="preserve">JLL APAC Hotel Investment Outlook 2024; Horwath HTL ultra-luxury comparables. Range 5.5–7.5%; midpoint applied. Conservative — assumes no terminal compression.</t>
  </si>
  <si>
    <t xml:space="preserve">Patient-capital hurdle: 7%</t>
  </si>
  <si>
    <t xml:space="preserve">SWF, family offices, long-hold institutional capital target 7–10% unleveraged IRR. Distinct from PE 11%+. Source: HVS, Horwath HTL APAC.</t>
  </si>
  <si>
    <t xml:space="preserve">12-year hold horizon</t>
  </si>
  <si>
    <t xml:space="preserve">Spans two FM27-equivalent planning cycles and two territorial election cycles (Vaitape Strategic Report v6/v7 §6.3). Political-cycle insulation. Source: HVS Hotel Investment Analysis 12th ed., 2021.</t>
  </si>
  <si>
    <t xml:space="preserve">Source: HVS Hotel Investment Analysis 12th ed., 2021; HVS Hotel Pre-Opening Cost Benchmarks 2022; Horwath HTL APAC Hotel Trends 2024; JLL APAC Hotel Investment Outlook 2024; Vaitape Strategic Report v7 §6.3.</t>
  </si>
  <si>
    <t xml:space="preserve">6.4  ADR × Occupancy Sensitivity</t>
  </si>
  <si>
    <t xml:space="preserve">Two-way matrix: NOI (USD, left) and Development Yield (%, right) at varying ADR and Occupancy. Green ≥10% yield, Gold 8–10%, Red &lt;8%.</t>
  </si>
  <si>
    <t xml:space="preserve">Development Yield (NOI ÷ Build Cost)</t>
  </si>
  <si>
    <t xml:space="preserve">ADR \ Occ</t>
  </si>
  <si>
    <t xml:space="preserve">Occ 45%</t>
  </si>
  <si>
    <t xml:space="preserve">Occ 50%</t>
  </si>
  <si>
    <t xml:space="preserve">Occ 55%</t>
  </si>
  <si>
    <t xml:space="preserve">Occ 65% (Base)</t>
  </si>
  <si>
    <t xml:space="preserve">Occ 75%</t>
  </si>
  <si>
    <t xml:space="preserve">ADR −15%</t>
  </si>
  <si>
    <t xml:space="preserve">ADR −10%</t>
  </si>
  <si>
    <t xml:space="preserve">ADR Base</t>
  </si>
  <si>
    <t xml:space="preserve">ADR +10%</t>
  </si>
  <si>
    <t xml:space="preserve">ADR +15%</t>
  </si>
  <si>
    <t xml:space="preserve">Base case (ADR $2,150 × Occ 65%) sits at 11.3% development yield — comfortably green. The asset stays investable (gold 8–10%) even at ADR −15% × Occ 55%. The matrix collapses into red only at ADR −15% × Occ ≤45% (cyclone + pricing collapse simultaneously). This is the structural cushion patient capital is paying for.</t>
  </si>
  <si>
    <t xml:space="preserve">── COLOUR LEGEND &amp; INVESTOR INTERPRETATION ──</t>
  </si>
  <si>
    <t xml:space="preserve">GREEN</t>
  </si>
  <si>
    <t xml:space="preserve">Dev yield ≥ 10% — target exceeded. Strong value-creation across cap-rate range.</t>
  </si>
  <si>
    <t xml:space="preserve">GOLD</t>
  </si>
  <si>
    <t xml:space="preserve">Dev yield 8–10% — investable for patient capital. Within 8–12% IRR band; clears yield-on-cost floor.</t>
  </si>
  <si>
    <t xml:space="preserve">RED</t>
  </si>
  <si>
    <t xml:space="preserve">Dev yield &lt; 8% — below patient-capital floor. Asset value &lt; build cost; project loses value vs sunk capital.</t>
  </si>
  <si>
    <t xml:space="preserve">Formula: NOI = [ADR × Occupancy × (1 + 35% TRevPAR) × 35 keys × 365] × (1 − 72% OpCost) − Mgmt Fees − FF&amp;E Reserve. Dev Yield = NOI ÷ $42M development cost. The matrix shows 25 ADR×Occupancy permutations: ADR ±15% on Base $2,150; Occupancy 45–75% in 5pp steps. Even at 45% occupancy with Base ADR, dev yield clears the 8% patient-capital floor in most cells — confirming downside resilience.</t>
  </si>
  <si>
    <t xml:space="preserve">Source: HVS Hotel Investment Analysis 12th ed., 2021; STR Global ultra-luxury benchmarks; JLL APAC Hotel Investment Outlook 2024.</t>
  </si>
  <si>
    <t xml:space="preserve">C.7  Independence Flag — TRevPAR Benchmark</t>
  </si>
  <si>
    <t xml:space="preserve">RICS Red Book Global Standards 2022 (VPS3) requires independence between the benchmark producer and the project being valued. KPMG 2025 fails this test.</t>
  </si>
  <si>
    <t xml:space="preserve">Item</t>
  </si>
  <si>
    <t xml:space="preserve">Status / Value</t>
  </si>
  <si>
    <t xml:space="preserve">Detail</t>
  </si>
  <si>
    <t xml:space="preserve">KPMG TRevPAR Premium (2025)</t>
  </si>
  <si>
    <t xml:space="preserve">EXCLUDED</t>
  </si>
  <si>
    <t xml:space="preserve">Polynesia Consulting (principal Henry Terou) co-authored the KPMG benchmark report and simultaneously serves as local project representative for the Surbana Jurong engagement of which this study forms part. Per RICS Red Book independence standards, this is a connected-party relationship.</t>
  </si>
  <si>
    <t xml:space="preserve">KPMG figure (reference only)</t>
  </si>
  <si>
    <t xml:space="preserve">65%</t>
  </si>
  <si>
    <t xml:space="preserve">Reported in KPMG Tourist Accommodation French Polynesia Part 1 p.83. NOT applied in any base or stress calculation.</t>
  </si>
  <si>
    <t xml:space="preserve">Independent triangulated figure</t>
  </si>
  <si>
    <t xml:space="preserve">35%</t>
  </si>
  <si>
    <t xml:space="preserve">STR Global ultra-luxury non-room uplift; HVS Performance Report 2019 boutique resort F&amp;B + Spa benchmarks. Used throughout the model.</t>
  </si>
  <si>
    <t xml:space="preserve">Effect on verdict</t>
  </si>
  <si>
    <t xml:space="preserve">NONE</t>
  </si>
  <si>
    <t xml:space="preserve">All Section 6 conclusions hold on the 35% independent figure alone. The 65% figure is preserved only as upside disclosure in C.7 and is NOT in any IRR / NPV / asset-value computation.</t>
  </si>
  <si>
    <t xml:space="preserve">Next-stage action</t>
  </si>
  <si>
    <t xml:space="preserve">Independent benchmarking</t>
  </si>
  <si>
    <t xml:space="preserve">Investor due diligence team should commission a non-connected non-room revenue benchmarking exercise. Recommended providers: STR Global, HVS, Horwath HTL — none of which have a contractual relationship with the project sponsor or Surbana Jurong.</t>
  </si>
  <si>
    <t xml:space="preserve">── RICS Red Book Long-Form Independence Statement (from v3) ──</t>
  </si>
  <si>
    <t xml:space="preserve">Per RICS Red Book Global Standards 2022 (VPS3 / VPS5), the valuer must declare independence between the benchmark inputs used and any party with a financial interest in the project outcome. Polynesia Consulting (principal: Mr Henry Terou) co-authored the KPMG Tourist Accommodation French Polynesia report (2025), and is also the sponsoring consultancy on the Vaitape ultra-luxury hotel mandate. This dual-role connection means KPMG's reported 65% TRevPAR premium for ultra-luxury Polynesian properties (KPMG Part 1 p.83) cannot be relied upon as an independent benchmark in the feasibility model.
Mitigation applied: the model substitutes a CONSERVATIVE 35% non-room revenue uplift, triangulated from (a) STR Global Luxury &amp; Ultra-Luxury ADR &amp; TRevPAR Benchmarks (subscription, institutional access); (b) HVS Performance Report — Spa Department for Boutique Ultra-Luxury Resorts (2019); and (c) HVS Hotel Investment Analysis 12th ed. (2021) sectoral guidance for boutique ultra-luxury Pacific and Indian-Ocean comparables. All headline conclusions in §6.2 hold on the 35% figure alone — including Gate 1 (asset value &gt; build cost), Gate 2 (IRR within 8–12% patient-capital band, NPV @ 7% &gt; 0), and Gate 3 (yield-on-cost spread ≥ 100 bps). The 65% KPMG figure, were it independently corroborated, would represent additional upside not currently relied upon.
Recommended next-stage action: investor due-diligence team should commission a non-connected non-room revenue benchmark — e.g. STR/CBRE ad-hoc benchmark study, or Horwath HTL APAC custom comparable set — before financial close. RICS Red Book VPS3 §3.4 documentation requirement: this statement is appended to all valuation outputs and the related model worksheet.</t>
  </si>
  <si>
    <t xml:space="preserve">Source: RICS Red Book Global Standards 2022 (VPS3 / VPS5); KPMG Tourist Accommodation French Polynesia 2025 Part 1 p.83 (reference only); STR Global Luxury Benchmarks; HVS Performance Report Spa Dept 2019; HVS Hotel Investment Analysis 12th ed., 2021.</t>
  </si>
  <si>
    <t xml:space="preserve">C.8  Defisc (LODEOM) — Upside Lever, NOT Base Case</t>
  </si>
  <si>
    <t xml:space="preserve">Investability is demonstrated on construction cost alone in §6.2. Defisc treated here as quantified upside — confirms the deal is robust to political risk on tax-credit access.</t>
  </si>
  <si>
    <t xml:space="preserve">Pre-Defisc</t>
  </si>
  <si>
    <t xml:space="preserve">Post-Defisc</t>
  </si>
  <si>
    <t xml:space="preserve">25% on qualifying expenditure for Bora Bora priority island.</t>
  </si>
  <si>
    <t xml:space="preserve">Maximum qualifying investment XPF 500M.</t>
  </si>
  <si>
    <t xml:space="preserve">XPF/USD FX</t>
  </si>
  <si>
    <t xml:space="preserve">Indicative — confirm with Polynesian counsel.</t>
  </si>
  <si>
    <t xml:space="preserve">Defisc Cap (USD)</t>
  </si>
  <si>
    <t xml:space="preserve">Cap binds because 25% × $42M ($10.5M) &gt; $4.18M cap.</t>
  </si>
  <si>
    <t xml:space="preserve">Theoretical credit (uncapped)</t>
  </si>
  <si>
    <t xml:space="preserve">What the rate would deliver absent cap.</t>
  </si>
  <si>
    <t xml:space="preserve">Effective credit (capped)</t>
  </si>
  <si>
    <t xml:space="preserve">Actual amount applied — $4.18M.</t>
  </si>
  <si>
    <t xml:space="preserve">Dev cost less effective credit.</t>
  </si>
  <si>
    <t xml:space="preserve">Stabilised NOI — Base</t>
  </si>
  <si>
    <t xml:space="preserve">NOI unchanged — Defisc affects denominator only.</t>
  </si>
  <si>
    <t xml:space="preserve">Stabilised NOI — Stress</t>
  </si>
  <si>
    <t xml:space="preserve">NOI unchanged.</t>
  </si>
  <si>
    <t xml:space="preserve">Development Yield — Base</t>
  </si>
  <si>
    <t xml:space="preserve">Yield uplift from Defisc — Base case.</t>
  </si>
  <si>
    <t xml:space="preserve">Development Yield — Stress</t>
  </si>
  <si>
    <t xml:space="preserve">Yield uplift from Defisc — Stress case.</t>
  </si>
  <si>
    <t xml:space="preserve">Why Defisc is treated as upside, not base</t>
  </si>
  <si>
    <t xml:space="preserve">Tax-credit dependence creates two risks for institutional capital: (1) political risk — government may cap, narrow eligibility or delay; (2) qualification risk — the project must clear administrative hurdles (priority-island status, qualifying expenditure definitions, timing). Patient capital should underwrite the deal on construction cost alone, treat the $4.18M effective credit as a sweetener that lifts the development yield from 11.3% to 12.6% Base / 8.2% to 9.1% Stress, but does not depend on it for investability. This isolation also permits a cleaner negotiation with the Bora Bora municipality on non-fiscal incentives (zoning, cultural-bonus FAR, infrastructure) without conflating the two cases.</t>
  </si>
  <si>
    <t xml:space="preserve">C.9  Cap Rate × Operating Cost Sensitivity (NEW)</t>
  </si>
  <si>
    <t xml:space="preserve">Two-way matrix testing valuation resilience to cap-rate softening AND operating-cost inflation. Asset Value (left); Yield Spread vs Cap Rate (right).</t>
  </si>
  <si>
    <t xml:space="preserve">Implied Asset Value (USD M) at Base Revenue $24.1M</t>
  </si>
  <si>
    <t xml:space="preserve">Yield Spread (Dev Yield − Cap Rate, bps)</t>
  </si>
  <si>
    <t xml:space="preserve">OpCost \ Cap</t>
  </si>
  <si>
    <t xml:space="preserve">5.5% (strong mkt)</t>
  </si>
  <si>
    <t xml:space="preserve">6.0%</t>
  </si>
  <si>
    <t xml:space="preserve">6.5% (Base)</t>
  </si>
  <si>
    <t xml:space="preserve">7.0%</t>
  </si>
  <si>
    <t xml:space="preserve">7.5% (weak mkt)</t>
  </si>
  <si>
    <t xml:space="preserve">67% (Horwath low)</t>
  </si>
  <si>
    <t xml:space="preserve">70%</t>
  </si>
  <si>
    <t xml:space="preserve">72% (Base)</t>
  </si>
  <si>
    <t xml:space="preserve">75%</t>
  </si>
  <si>
    <t xml:space="preserve">78% (Horwath high)</t>
  </si>
  <si>
    <t xml:space="preserve">The base case (Cap 6.5% × OpCost 72%) sits at $73.3M asset value with +480 bps yield spread. The matrix shows the asset stays above build cost ($42M, green/gold) under simultaneous cap-rate softening to 7.5% AND operating-cost inflation to 75% — a deliberately punitive joint shock. Only the Horwath upper bound (78% OpCost) at the weakest cap (7.5%) breaks Gate 1 (asset value ≤ build cost). This isolates the single failure mode for patient capital: operator quality, not market conditions.</t>
  </si>
  <si>
    <t xml:space="preserve">Space Utilisation Plan — GFA Build-Up</t>
  </si>
  <si>
    <t xml:space="preserve">Two views: HIGH-LEVEL summary lumps for presentation (top), DETAILED zone-by-zone breakdown for due-diligence (below). Total GFA = 6,720 sqm = 35 keys × 192 sqm/key. Site = 15,000 sqm. Plot ratio = 0.45. Open landscape retained ≈ 55% (8,280 sqm).</t>
  </si>
  <si>
    <t xml:space="preserve">── HIGH-LEVEL SUMMARY (presentation view) ──</t>
  </si>
  <si>
    <t xml:space="preserve">Component</t>
  </si>
  <si>
    <t xml:space="preserve">Allocation</t>
  </si>
  <si>
    <t xml:space="preserve">Per-Unit (sqm)</t>
  </si>
  <si>
    <t xml:space="preserve">Subtotal (sqm)</t>
  </si>
  <si>
    <t xml:space="preserve">Source / Note</t>
  </si>
  <si>
    <t xml:space="preserve">Accommodation (all key types)</t>
  </si>
  <si>
    <t xml:space="preserve">F&amp;B (3 outlets)</t>
  </si>
  <si>
    <t xml:space="preserve">Fine dining 165 + harbour bar/pool deck 255 + private dining 100. CBRE Hotels: 2.5–4 sqm/cover.</t>
  </si>
  <si>
    <t xml:space="preserve">Spa &amp; Wellness</t>
  </si>
  <si>
    <t xml:space="preserve">Cultural &amp; Programming</t>
  </si>
  <si>
    <t xml:space="preserve">Te Tumu Gallery + Pearl Atelier (150) + Beachside lounge/lagoon pool (240) + Communal Marae (300).</t>
  </si>
  <si>
    <t xml:space="preserve">Arrival &amp; Public Spaces</t>
  </si>
  <si>
    <t xml:space="preserve">Arrival lobby + Cultural Salon. HVS: luxury lobby = 1.5–3.0 sqm/key.</t>
  </si>
  <si>
    <t xml:space="preserve">Back-of-House</t>
  </si>
  <si>
    <t xml:space="preserve">Infrastructure (MEP/Structure/Circulation)</t>
  </si>
  <si>
    <t xml:space="preserve">MEP, plant, structure, circulation. HVS: 12–16% of GFA + structural buffer for Pacific cyclone code.</t>
  </si>
  <si>
    <t xml:space="preserve">TOTAL — High-Level GFA</t>
  </si>
  <si>
    <t xml:space="preserve">── DETAILED ZONE-BY-ZONE BREAKDOWN (due-diligence view) ──</t>
  </si>
  <si>
    <t xml:space="preserve">Zone / Component</t>
  </si>
  <si>
    <t xml:space="preserve">GFA (sqm)</t>
  </si>
  <si>
    <t xml:space="preserve">% of GFA</t>
  </si>
  <si>
    <t xml:space="preserve">Benchmark Source &amp; Remark</t>
  </si>
  <si>
    <t xml:space="preserve">── ACCOMMODATION (53.0% of GFA) ──</t>
  </si>
  <si>
    <t xml:space="preserve">Harbour Lagoon Villas — 8 units × 130 sqm</t>
  </si>
  <si>
    <t xml:space="preserve">Penner, Adams &amp; Rutes: luxury resort villa = 100–180+ sqm net GIA. Source: Hotel Design, Planning &amp; Development 3rd ed.</t>
  </si>
  <si>
    <t xml:space="preserve">Garden Courtyard Villas — 8 units × 100 sqm</t>
  </si>
  <si>
    <t xml:space="preserve">HVS Dev Cost Survey 2024; Penner et al. luxury resort villa range.</t>
  </si>
  <si>
    <t xml:space="preserve">Compact Boardwalk Villas — 8 units × 80 sqm</t>
  </si>
  <si>
    <t xml:space="preserve">HVS Dev Cost Survey 2024; Penner et al.</t>
  </si>
  <si>
    <t xml:space="preserve">Sky Suites — 6 units × 70 sqm</t>
  </si>
  <si>
    <t xml:space="preserve">Penner et al.: luxury hotel suite = 60–90 sqm net GIA.</t>
  </si>
  <si>
    <t xml:space="preserve">Premium Rooms — 5 units × 50 sqm</t>
  </si>
  <si>
    <t xml:space="preserve">Penner et al.: luxury hotel standard room = 40–60 sqm.</t>
  </si>
  <si>
    <t xml:space="preserve">SUBTOTAL — Accommodation</t>
  </si>
  <si>
    <t xml:space="preserve">Sum of accommodation zones.</t>
  </si>
  <si>
    <t xml:space="preserve">── F&amp;B (7.7% of GFA) ──</t>
  </si>
  <si>
    <t xml:space="preserve">Te Rai Fine Dining Restaurant (50 covers)</t>
  </si>
  <si>
    <t xml:space="preserve">CBRE Hotels: fine dining 2.5–4.0 sqm/cover gross. 50 × 3.3 = 165 sqm.</t>
  </si>
  <si>
    <t xml:space="preserve">Fare Motu Harbour Bar + Pool Deck (20 seats)</t>
  </si>
  <si>
    <t xml:space="preserve">HVS: bar/lounge 3–5 sqm/seat + pool deck. Source: HVS; CBRE Hotels.</t>
  </si>
  <si>
    <t xml:space="preserve">Pearl Table Private Dining (12 covers)</t>
  </si>
  <si>
    <t xml:space="preserve">Private dining: 5–8 sqm/cover. 12 × 8 = 96 → 100. Source: Penner et al.; CBRE.</t>
  </si>
  <si>
    <t xml:space="preserve">SUBTOTAL — F&amp;B</t>
  </si>
  <si>
    <t xml:space="preserve">Sum of F&amp;B zones.</t>
  </si>
  <si>
    <t xml:space="preserve">── SPA &amp; WELLNESS (5.4% of GFA) ──</t>
  </si>
  <si>
    <t xml:space="preserve">6 Treatment Rooms (30 sqm each)</t>
  </si>
  <si>
    <t xml:space="preserve">ISPA Facility Guidelines 2022: treatment room = 20–35 sqm.</t>
  </si>
  <si>
    <t xml:space="preserve">Wet Circuit + Relaxation Lounge + Reception</t>
  </si>
  <si>
    <t xml:space="preserve">HVS Spa Dept benchmark: wet circuit + relaxation = ~150–200 sqm.</t>
  </si>
  <si>
    <t xml:space="preserve">SUBTOTAL — Spa &amp; Wellness</t>
  </si>
  <si>
    <t xml:space="preserve">Sum of spa zones.</t>
  </si>
  <si>
    <t xml:space="preserve">── CULTURAL &amp; PROGRAMMING (10.3% of GFA) ──</t>
  </si>
  <si>
    <t xml:space="preserve">Te Tumu Cultural Gallery + Pearl Atelier</t>
  </si>
  <si>
    <t xml:space="preserve">Sized for rotating exhibitions and artisan workspace. Comparable: Capella Siem Reap gallery.</t>
  </si>
  <si>
    <t xml:space="preserve">Beachside Lounge + Lagoon Pool</t>
  </si>
  <si>
    <t xml:space="preserve">HVS: outdoor pool ~120–200 sqm + 40–80 sqm lounge.</t>
  </si>
  <si>
    <t xml:space="preserve">Communal Marae (Sunken Garden)</t>
  </si>
  <si>
    <t xml:space="preserve">Comparable: Capella Siem Reap courtyard ~250–350 sqm.</t>
  </si>
  <si>
    <t xml:space="preserve">SUBTOTAL — Cultural &amp; Programming</t>
  </si>
  <si>
    <t xml:space="preserve">── ARRIVAL &amp; PUBLIC SPACES (2.6% of GFA) ──</t>
  </si>
  <si>
    <t xml:space="preserve">Arrival Lobby + Cultural Salon</t>
  </si>
  <si>
    <t xml:space="preserve">HVS: luxury lobby = 1.5–3.0 sqm/key. 35 × 2.5 = 87.5 + salon = 175.</t>
  </si>
  <si>
    <t xml:space="preserve">SUBTOTAL — Arrival &amp; Public</t>
  </si>
  <si>
    <t xml:space="preserve">── BACK-OF-HOUSE (7.0% of GFA) ──</t>
  </si>
  <si>
    <t xml:space="preserve">Kitchens, Laundry, Staff Areas, Offices</t>
  </si>
  <si>
    <t xml:space="preserve">HVS: BOH 6–10% of GFA. 7% × 6,720 = 470.</t>
  </si>
  <si>
    <t xml:space="preserve">SUBTOTAL — Back-of-House</t>
  </si>
  <si>
    <t xml:space="preserve">── INFRASTRUCTURE (14.0% of GFA) ──</t>
  </si>
  <si>
    <t xml:space="preserve">MEP, Plant Room, Structure, Circulation</t>
  </si>
  <si>
    <t xml:space="preserve">HVS: 12–16%; tuned to 1,355 to balance to 6,720 total. Pacific cyclone code structural buffer included.</t>
  </si>
  <si>
    <t xml:space="preserve">SUBTOTAL — Infrastructure</t>
  </si>
  <si>
    <t xml:space="preserve">TOTAL PLANNING GFA</t>
  </si>
  <si>
    <t xml:space="preserve">Sum of all zones = 35 keys × 192 sqm/key = 6,720 sqm.</t>
  </si>
  <si>
    <t xml:space="preserve">── SITE METRICS SUMMARY ──</t>
  </si>
  <si>
    <t xml:space="preserve">Total Site Area</t>
  </si>
  <si>
    <t xml:space="preserve">15,000 sqm (1.5 ha — confirmed; corrects prior 2.3 ha)</t>
  </si>
  <si>
    <t xml:space="preserve">Total Planning GFA</t>
  </si>
  <si>
    <t xml:space="preserve">6,720 sqm (35 × 192 sqm/key)</t>
  </si>
  <si>
    <t xml:space="preserve">Plot Ratio</t>
  </si>
  <si>
    <t xml:space="preserve">0.45 = 6,720 ÷ 15,000 (corrected from 0.29)</t>
  </si>
  <si>
    <t xml:space="preserve">Open Landscape Retained</t>
  </si>
  <si>
    <t xml:space="preserve">~55% of site (= 8,280 sqm)</t>
  </si>
  <si>
    <t xml:space="preserve">GFA per Key</t>
  </si>
  <si>
    <t xml:space="preserve">192 sqm (benchmarked: HVS 2024; Penner et al.)</t>
  </si>
  <si>
    <t xml:space="preserve">Source: Penner, Adams &amp; Rutes Hotel Design Planning &amp; Development 3rd ed.; HVS Hotel Development Cost Survey 2024; HVS Performance Report Spa Dept 2019; ISPA Facility Guidelines 2022; CBRE Hotels F&amp;B Benchmarks; Cornell/deRoos Hotel Programming; DeLaSalle Hotel Space Allocations.</t>
  </si>
  <si>
    <t xml:space="preserve">Sources &amp; References</t>
  </si>
  <si>
    <t xml:space="preserve">Mirrors Master References section of Vaitape Hotel Strategic Report v7.2. Full author/title/year/page/URL with paywall access route where relevant.</t>
  </si>
  <si>
    <t xml:space="preserve">#</t>
  </si>
  <si>
    <t xml:space="preserve">Author / Body</t>
  </si>
  <si>
    <t xml:space="preserve">Title (year, page)</t>
  </si>
  <si>
    <t xml:space="preserve">URL / Access Route</t>
  </si>
  <si>
    <t xml:space="preserve">1</t>
  </si>
  <si>
    <t xml:space="preserve">HVS — Mellen, S.</t>
  </si>
  <si>
    <t xml:space="preserve">Hotel Feasibility Studies: Methods &amp; Applications (HVS White Paper, 2023)</t>
  </si>
  <si>
    <t xml:space="preserve">hvs.com/publications</t>
  </si>
  <si>
    <t xml:space="preserve">2</t>
  </si>
  <si>
    <t xml:space="preserve">HVS Global Hospitality Services</t>
  </si>
  <si>
    <t xml:space="preserve">Hotel Development Cost Survey 2024</t>
  </si>
  <si>
    <t xml:space="preserve">hvs.com/article/9756</t>
  </si>
  <si>
    <t xml:space="preserve">3</t>
  </si>
  <si>
    <t xml:space="preserve">HVS — Lecture Series</t>
  </si>
  <si>
    <t xml:space="preserve">Hotel Investment Analysis (12th ed., 2021)</t>
  </si>
  <si>
    <t xml:space="preserve">hvs.com/article/8453</t>
  </si>
  <si>
    <t xml:space="preserve">4</t>
  </si>
  <si>
    <t xml:space="preserve">HVS Performance Report</t>
  </si>
  <si>
    <t xml:space="preserve">Spa Department Performance — Boutique Ultra-Luxury Resorts (2019)</t>
  </si>
  <si>
    <t xml:space="preserve">hvs.com/article/8512</t>
  </si>
  <si>
    <t xml:space="preserve">5</t>
  </si>
  <si>
    <t xml:space="preserve">HVS</t>
  </si>
  <si>
    <t xml:space="preserve">Management Agreement Trends &amp; Analysis 2023</t>
  </si>
  <si>
    <t xml:space="preserve">hvs.com/article/9544</t>
  </si>
  <si>
    <t xml:space="preserve">6</t>
  </si>
  <si>
    <t xml:space="preserve">RICS — Royal Institution of Chartered Surveyors</t>
  </si>
  <si>
    <t xml:space="preserve">Red Book Global Standards 2022 (VPS3 / VPS5)</t>
  </si>
  <si>
    <t xml:space="preserve">rics.org/redbook</t>
  </si>
  <si>
    <t xml:space="preserve">7</t>
  </si>
  <si>
    <t xml:space="preserve">Horwath HTL</t>
  </si>
  <si>
    <t xml:space="preserve">Hotel Trends Asia-Pacific 2024</t>
  </si>
  <si>
    <t xml:space="preserve">horwathhtl.com/publications</t>
  </si>
  <si>
    <t xml:space="preserve">8</t>
  </si>
  <si>
    <t xml:space="preserve">Operator Contract Benchmark — Asia-Pacific 2023</t>
  </si>
  <si>
    <t xml:space="preserve">9</t>
  </si>
  <si>
    <t xml:space="preserve">JLL Hotels &amp; Hospitality</t>
  </si>
  <si>
    <t xml:space="preserve">APAC Hotel Investment Outlook 2024</t>
  </si>
  <si>
    <t xml:space="preserve">jll.com/en/trends-and-insights/research</t>
  </si>
  <si>
    <t xml:space="preserve">10</t>
  </si>
  <si>
    <t xml:space="preserve">JLL</t>
  </si>
  <si>
    <t xml:space="preserve">Ultra-Luxury Resort Cap Rate Research APAC 2023</t>
  </si>
  <si>
    <t xml:space="preserve">jll.com/en/research</t>
  </si>
  <si>
    <t xml:space="preserve">11</t>
  </si>
  <si>
    <t xml:space="preserve">STR Global</t>
  </si>
  <si>
    <t xml:space="preserve">Luxury &amp; Ultra-Luxury ADR Benchmarks (subscription)</t>
  </si>
  <si>
    <t xml:space="preserve">str.com — subscription / institutional</t>
  </si>
  <si>
    <t xml:space="preserve">12</t>
  </si>
  <si>
    <t xml:space="preserve">F&amp;B and Non-Room Revenue Benchmarks — APAC Resorts</t>
  </si>
  <si>
    <t xml:space="preserve">13</t>
  </si>
  <si>
    <t xml:space="preserve">Maslow, A.H.</t>
  </si>
  <si>
    <t xml:space="preserve">A Theory of Human Motivation (1943) — Psychological Review 50(4):370–396</t>
  </si>
  <si>
    <t xml:space="preserve">doi.org/10.1037/h0054346</t>
  </si>
  <si>
    <t xml:space="preserve">14</t>
  </si>
  <si>
    <t xml:space="preserve">Kotler, P. &amp; Keller, K.L.</t>
  </si>
  <si>
    <t xml:space="preserve">Marketing Management (15th ed., 2016) — chs. on positioning &amp; service</t>
  </si>
  <si>
    <t xml:space="preserve">Pearson — institutional library / Amazon</t>
  </si>
  <si>
    <t xml:space="preserve">15</t>
  </si>
  <si>
    <t xml:space="preserve">Yeoman, I. &amp; McMahon-Beattie, U.</t>
  </si>
  <si>
    <t xml:space="preserve">Revenue Management — A practical pricing perspective. JRP&amp;R 2013, 12(4)</t>
  </si>
  <si>
    <t xml:space="preserve">doi.org/10.1057/rpm.2013.40</t>
  </si>
  <si>
    <t xml:space="preserve">16</t>
  </si>
  <si>
    <t xml:space="preserve">Hu, F. &amp; Trivedi, R.</t>
  </si>
  <si>
    <t xml:space="preserve">Mapping hotel brand positioning... Int. J. Hospitality Mgmt 2020, 84</t>
  </si>
  <si>
    <t xml:space="preserve">doi.org/10.1016/j.ijhm.2019.102353</t>
  </si>
  <si>
    <t xml:space="preserve">17</t>
  </si>
  <si>
    <t xml:space="preserve">Penner, R.H., Adams, L. &amp; Rutes, W.</t>
  </si>
  <si>
    <t xml:space="preserve">Hotel Design, Planning &amp; Development (3rd ed., 2013)</t>
  </si>
  <si>
    <t xml:space="preserve">Routledge / Taylor &amp; Francis — institutional library</t>
  </si>
  <si>
    <t xml:space="preserve">18</t>
  </si>
  <si>
    <t xml:space="preserve">EHL — École Hôtelière de Lausanne</t>
  </si>
  <si>
    <t xml:space="preserve">Hotel Concept Handbook (2022)</t>
  </si>
  <si>
    <t xml:space="preserve">ehl.edu/research</t>
  </si>
  <si>
    <t xml:space="preserve">19</t>
  </si>
  <si>
    <t xml:space="preserve">DeLaSalle / hotel design benchmarks</t>
  </si>
  <si>
    <t xml:space="preserve">Boutique Resort GFA Benchmarks (industry compendium)</t>
  </si>
  <si>
    <t xml:space="preserve">Industry compendium — circulated to partners</t>
  </si>
  <si>
    <t xml:space="preserve">20</t>
  </si>
  <si>
    <t xml:space="preserve">GlobalData</t>
  </si>
  <si>
    <t xml:space="preserve">Polynesia Tourism Market Outlook 2024</t>
  </si>
  <si>
    <t xml:space="preserve">globaldata.com — subscription</t>
  </si>
  <si>
    <t xml:space="preserve">21</t>
  </si>
  <si>
    <t xml:space="preserve">ISPF — Institut de la Statistique de la Polynésie française</t>
  </si>
  <si>
    <t xml:space="preserve">Tourisme: indicateurs trimestriels 2024</t>
  </si>
  <si>
    <t xml:space="preserve">ispf.pf/themes/tourisme</t>
  </si>
  <si>
    <t xml:space="preserve">22</t>
  </si>
  <si>
    <t xml:space="preserve">Allied Market Research</t>
  </si>
  <si>
    <t xml:space="preserve">Cultural Tourism Market Outlook 2030</t>
  </si>
  <si>
    <t xml:space="preserve">alliedmarketresearch.com/cultural-tourism-market</t>
  </si>
  <si>
    <t xml:space="preserve">23</t>
  </si>
  <si>
    <t xml:space="preserve">Capella Hotels &amp; Resorts</t>
  </si>
  <si>
    <t xml:space="preserve">Capella brand profile and key counts</t>
  </si>
  <si>
    <t xml:space="preserve">capellahotels.com</t>
  </si>
  <si>
    <t xml:space="preserve">24</t>
  </si>
  <si>
    <t xml:space="preserve">Aman Resorts</t>
  </si>
  <si>
    <t xml:space="preserve">Aman brand profile and key counts</t>
  </si>
  <si>
    <t xml:space="preserve">aman.com</t>
  </si>
  <si>
    <t xml:space="preserve">25</t>
  </si>
  <si>
    <t xml:space="preserve">Six Senses</t>
  </si>
  <si>
    <t xml:space="preserve">Six Senses brand profile and key counts</t>
  </si>
  <si>
    <t xml:space="preserve">sixsenses.com</t>
  </si>
  <si>
    <t xml:space="preserve">26</t>
  </si>
  <si>
    <t xml:space="preserve">Four Seasons Hotels &amp; Resorts</t>
  </si>
  <si>
    <t xml:space="preserve">Four Seasons Bora Bora property page and rate guide</t>
  </si>
  <si>
    <t xml:space="preserve">fourseasons.com/borabora</t>
  </si>
  <si>
    <t xml:space="preserve">27</t>
  </si>
  <si>
    <t xml:space="preserve">St. Regis Hotels</t>
  </si>
  <si>
    <t xml:space="preserve">St. Regis Bora Bora rate guide</t>
  </si>
  <si>
    <t xml:space="preserve">marriott.com/bora-bora-st-regis</t>
  </si>
  <si>
    <t xml:space="preserve">28</t>
  </si>
  <si>
    <t xml:space="preserve">One&amp;Only Resorts</t>
  </si>
  <si>
    <t xml:space="preserve">One&amp;Only brand profile</t>
  </si>
  <si>
    <t xml:space="preserve">oneandonlyresorts.com</t>
  </si>
  <si>
    <t xml:space="preserve">29</t>
  </si>
  <si>
    <t xml:space="preserve">Banque de Polynésie</t>
  </si>
  <si>
    <t xml:space="preserve">XPF/USD indicative exchange rate</t>
  </si>
  <si>
    <t xml:space="preserve">sbp.pf</t>
  </si>
  <si>
    <t xml:space="preserve">30</t>
  </si>
  <si>
    <t xml:space="preserve">Légifrance — Direction de l'information légale</t>
  </si>
  <si>
    <t xml:space="preserve">Code Général des Impôts, Article 199 undecies B (LODEOM)</t>
  </si>
  <si>
    <t xml:space="preserve">legifrance.gouv.fr</t>
  </si>
  <si>
    <t xml:space="preserve">31</t>
  </si>
  <si>
    <t xml:space="preserve">KPMG</t>
  </si>
  <si>
    <t xml:space="preserve">Tourist Accommodation French Polynesia Part 3 — Fact Sheet 3 (2025) — p.29 Defisc rate/cap</t>
  </si>
  <si>
    <t xml:space="preserve">kpmg.fr — RETRIEVED for tax reference; TRevPAR figure (Part 1) NOT used</t>
  </si>
  <si>
    <t xml:space="preserve">32</t>
  </si>
  <si>
    <t xml:space="preserve">KPMG (Part 1, p.83)</t>
  </si>
  <si>
    <t xml:space="preserve">TRevPAR ultra-luxury figure (65%) — REFERENCE ONLY, NOT used in model</t>
  </si>
  <si>
    <t xml:space="preserve">kpmg.fr — flagged connected-party per RICS Red Book</t>
  </si>
  <si>
    <t xml:space="preserve">33</t>
  </si>
  <si>
    <t xml:space="preserve">Bora Bora Municipality</t>
  </si>
  <si>
    <t xml:space="preserve">Vaitape City-Centre Master Plan (planner's aerial)</t>
  </si>
  <si>
    <t xml:space="preserve">Bora Bora Municipality — official lodgement</t>
  </si>
  <si>
    <t xml:space="preserve">34</t>
  </si>
  <si>
    <t xml:space="preserve">CBRE Hotels</t>
  </si>
  <si>
    <t xml:space="preserve">Global Capex / FF&amp;E Reserve Benchmarks 2023</t>
  </si>
  <si>
    <t xml:space="preserve">cbre.com/insights/reports</t>
  </si>
  <si>
    <t xml:space="preserve">35</t>
  </si>
  <si>
    <t xml:space="preserve">AHLA — American Hotel &amp; Lodging Association</t>
  </si>
  <si>
    <t xml:space="preserve">Lodging Industry Investment Council guidance</t>
  </si>
  <si>
    <t xml:space="preserve">ahla.com/research</t>
  </si>
  <si>
    <t xml:space="preserve">36</t>
  </si>
  <si>
    <t xml:space="preserve">Surbana Jurong</t>
  </si>
  <si>
    <t xml:space="preserve">Bora Bora Vaitape Hub — masterplan engagement scope (project-internal)</t>
  </si>
  <si>
    <t xml:space="preserve">Project-internal documentation</t>
  </si>
  <si>
    <t xml:space="preserve">37</t>
  </si>
  <si>
    <t xml:space="preserve">Amansara / Aman Tokyo / Capella Bangkok</t>
  </si>
  <si>
    <t xml:space="preserve">Comparable luxury ADR observations — published rate guides 2024</t>
  </si>
  <si>
    <t xml:space="preserve">Brand websites</t>
  </si>
  <si>
    <t xml:space="preserve">38</t>
  </si>
  <si>
    <t xml:space="preserve">ResearchGate / SSRN</t>
  </si>
  <si>
    <t xml:space="preserve">Pre-print parallel access for Yeoman/Trivedi/Maslow papers</t>
  </si>
  <si>
    <t xml:space="preserve">researchgate.net / ssrn.com</t>
  </si>
  <si>
    <t xml:space="preserve">39</t>
  </si>
  <si>
    <t xml:space="preserve">Vaitape Hotel Feasibility Model v3</t>
  </si>
  <si>
    <t xml:space="preserve">Internal authoritative figures — NOI, IRR, NPV, asset value (28 Apr 2026)</t>
  </si>
  <si>
    <t xml:space="preserve">Workbook — this file's predecessor</t>
  </si>
  <si>
    <t xml:space="preserve">HVS — Mellen, S. &amp; deRoos, J.</t>
  </si>
  <si>
    <t xml:space="preserve">Hotel Valuation &amp; Market Study — Luxury Resort Methodology (HVS, 2022)</t>
  </si>
  <si>
    <t xml:space="preserve">Cornell University / deRoos, J.</t>
  </si>
  <si>
    <t xml:space="preserve">Hotel Programming &amp; Planning — Five-step Space Programming Framework (Cornell School of Hotel Administration)</t>
  </si>
  <si>
    <t xml:space="preserve">sha.cornell.edu/faculty/jan-de-roos/</t>
  </si>
  <si>
    <t xml:space="preserve">Methodology classifications used in the model: Retrieved (primary-source quotation), Benchmarked (industry-range matched), Computed (formula-derived), Scenario (forward-looking assumption).</t>
  </si>
</sst>
</file>

<file path=xl/styles.xml><?xml version="1.0" encoding="utf-8"?>
<styleSheet xmlns="http://schemas.openxmlformats.org/spreadsheetml/2006/main">
  <numFmts count="9">
    <numFmt numFmtId="164" formatCode="General"/>
    <numFmt numFmtId="165" formatCode="0.0%"/>
    <numFmt numFmtId="166" formatCode="\$#,##0;[RED]&quot;($&quot;#,##0\)"/>
    <numFmt numFmtId="167" formatCode="\$#,##0"/>
    <numFmt numFmtId="168" formatCode="#,##0"/>
    <numFmt numFmtId="169" formatCode="0.00"/>
    <numFmt numFmtId="170" formatCode="\+0.0%;\-0.0%;0.0%"/>
    <numFmt numFmtId="171" formatCode="0.00%"/>
    <numFmt numFmtId="172" formatCode="@"/>
  </numFmts>
  <fonts count="35">
    <font>
      <sz val="11"/>
      <color theme="1"/>
      <name val="Calibri"/>
      <family val="2"/>
      <charset val="1"/>
    </font>
    <font>
      <sz val="10"/>
      <name val="Arial"/>
      <family val="0"/>
    </font>
    <font>
      <sz val="10"/>
      <name val="Arial"/>
      <family val="0"/>
    </font>
    <font>
      <sz val="10"/>
      <name val="Arial"/>
      <family val="0"/>
    </font>
    <font>
      <b val="true"/>
      <sz val="16"/>
      <color rgb="FF28251D"/>
      <name val="Calibri"/>
      <family val="0"/>
      <charset val="1"/>
    </font>
    <font>
      <i val="true"/>
      <sz val="9"/>
      <color rgb="FF7A7974"/>
      <name val="Calibri"/>
      <family val="0"/>
      <charset val="1"/>
    </font>
    <font>
      <sz val="11"/>
      <color rgb="FF28251D"/>
      <name val="Calibri"/>
      <family val="0"/>
      <charset val="1"/>
    </font>
    <font>
      <b val="true"/>
      <sz val="11"/>
      <color rgb="FF28251D"/>
      <name val="Calibri"/>
      <family val="0"/>
      <charset val="1"/>
    </font>
    <font>
      <b val="true"/>
      <sz val="12"/>
      <color rgb="FFFFFFFF"/>
      <name val="Calibri"/>
      <family val="0"/>
      <charset val="1"/>
    </font>
    <font>
      <u val="single"/>
      <sz val="11"/>
      <color rgb="FF01696F"/>
      <name val="Calibri"/>
      <family val="0"/>
      <charset val="1"/>
    </font>
    <font>
      <sz val="10"/>
      <color rgb="FF28251D"/>
      <name val="Calibri"/>
      <family val="0"/>
      <charset val="1"/>
    </font>
    <font>
      <b val="true"/>
      <sz val="18"/>
      <color rgb="FF28251D"/>
      <name val="Calibri"/>
      <family val="0"/>
      <charset val="1"/>
    </font>
    <font>
      <i val="true"/>
      <sz val="10"/>
      <color rgb="FF7A7974"/>
      <name val="Calibri"/>
      <family val="0"/>
      <charset val="1"/>
    </font>
    <font>
      <sz val="10"/>
      <color rgb="FF7A7974"/>
      <name val="Calibri"/>
      <family val="0"/>
      <charset val="1"/>
    </font>
    <font>
      <b val="true"/>
      <sz val="9"/>
      <color rgb="FF7A7974"/>
      <name val="Calibri"/>
      <family val="0"/>
      <charset val="1"/>
    </font>
    <font>
      <b val="true"/>
      <sz val="20"/>
      <color rgb="FF01696F"/>
      <name val="Calibri"/>
      <family val="0"/>
      <charset val="1"/>
    </font>
    <font>
      <b val="true"/>
      <sz val="20"/>
      <color rgb="FF28251D"/>
      <name val="Calibri"/>
      <family val="0"/>
      <charset val="1"/>
    </font>
    <font>
      <b val="true"/>
      <sz val="11"/>
      <color rgb="FFFFFFFF"/>
      <name val="Calibri"/>
      <family val="0"/>
      <charset val="1"/>
    </font>
    <font>
      <b val="true"/>
      <sz val="11"/>
      <name val="Calibri"/>
      <family val="0"/>
      <charset val="1"/>
    </font>
    <font>
      <b val="true"/>
      <sz val="11"/>
      <color rgb="FF437A22"/>
      <name val="Calibri"/>
      <family val="0"/>
      <charset val="1"/>
    </font>
    <font>
      <i val="true"/>
      <sz val="11"/>
      <color rgb="FF28251D"/>
      <name val="Calibri"/>
      <family val="0"/>
      <charset val="1"/>
    </font>
    <font>
      <b val="true"/>
      <sz val="10"/>
      <color rgb="FF28251D"/>
      <name val="Calibri"/>
      <family val="0"/>
      <charset val="1"/>
    </font>
    <font>
      <b val="true"/>
      <sz val="11"/>
      <color rgb="FF0070C0"/>
      <name val="Calibri"/>
      <family val="0"/>
      <charset val="1"/>
    </font>
    <font>
      <b val="true"/>
      <sz val="10"/>
      <color rgb="FF437A22"/>
      <name val="Calibri"/>
      <family val="0"/>
      <charset val="1"/>
    </font>
    <font>
      <sz val="10"/>
      <color rgb="FF1F4E79"/>
      <name val="Calibri"/>
      <family val="0"/>
      <charset val="1"/>
    </font>
    <font>
      <b val="true"/>
      <sz val="14"/>
      <color rgb="FF28251D"/>
      <name val="Calibri"/>
      <family val="0"/>
      <charset val="1"/>
    </font>
    <font>
      <sz val="10"/>
      <name val="Calibri"/>
      <family val="0"/>
      <charset val="1"/>
    </font>
    <font>
      <b val="true"/>
      <sz val="10"/>
      <name val="Calibri"/>
      <family val="0"/>
      <charset val="1"/>
    </font>
    <font>
      <b val="true"/>
      <sz val="12"/>
      <color rgb="FF01696F"/>
      <name val="Calibri"/>
      <family val="0"/>
      <charset val="1"/>
    </font>
    <font>
      <sz val="11"/>
      <name val="Calibri"/>
      <family val="0"/>
      <charset val="1"/>
    </font>
    <font>
      <b val="true"/>
      <sz val="11"/>
      <color rgb="FFA12C7B"/>
      <name val="Calibri"/>
      <family val="0"/>
      <charset val="1"/>
    </font>
    <font>
      <b val="true"/>
      <sz val="11"/>
      <color rgb="FF7A7974"/>
      <name val="Calibri"/>
      <family val="0"/>
      <charset val="1"/>
    </font>
    <font>
      <b val="true"/>
      <sz val="11"/>
      <color rgb="FF01696F"/>
      <name val="Calibri"/>
      <family val="0"/>
      <charset val="1"/>
    </font>
    <font>
      <b val="true"/>
      <sz val="10"/>
      <color rgb="FF01696F"/>
      <name val="Calibri"/>
      <family val="0"/>
      <charset val="1"/>
    </font>
    <font>
      <i val="true"/>
      <sz val="10"/>
      <name val="Calibri"/>
      <family val="0"/>
      <charset val="1"/>
    </font>
  </fonts>
  <fills count="10">
    <fill>
      <patternFill patternType="none"/>
    </fill>
    <fill>
      <patternFill patternType="gray125"/>
    </fill>
    <fill>
      <patternFill patternType="solid">
        <fgColor rgb="FF01696F"/>
        <bgColor rgb="FF20808D"/>
      </patternFill>
    </fill>
    <fill>
      <patternFill patternType="solid">
        <fgColor rgb="FFFBFBF9"/>
        <bgColor rgb="FFFFFFFF"/>
      </patternFill>
    </fill>
    <fill>
      <patternFill patternType="solid">
        <fgColor rgb="FFD9EAEC"/>
        <bgColor rgb="FFE6EFF0"/>
      </patternFill>
    </fill>
    <fill>
      <patternFill patternType="solid">
        <fgColor rgb="FFE6EFF0"/>
        <bgColor rgb="FFE7F2DC"/>
      </patternFill>
    </fill>
    <fill>
      <patternFill patternType="solid">
        <fgColor rgb="FF1B474D"/>
        <bgColor rgb="FF1F4E79"/>
      </patternFill>
    </fill>
    <fill>
      <patternFill patternType="solid">
        <fgColor rgb="FFE7F2DC"/>
        <bgColor rgb="FFDEEDD3"/>
      </patternFill>
    </fill>
    <fill>
      <patternFill patternType="solid">
        <fgColor rgb="FFFFF8DC"/>
        <bgColor rgb="FFFBEED2"/>
      </patternFill>
    </fill>
    <fill>
      <patternFill patternType="solid">
        <fgColor rgb="FFF6E1E1"/>
        <bgColor rgb="FFF4D6DD"/>
      </patternFill>
    </fill>
  </fills>
  <borders count="3">
    <border diagonalUp="false" diagonalDown="false">
      <left/>
      <right/>
      <top/>
      <bottom/>
      <diagonal/>
    </border>
    <border diagonalUp="false" diagonalDown="false">
      <left/>
      <right/>
      <top/>
      <bottom style="thin">
        <color rgb="FFD4D1CA"/>
      </bottom>
      <diagonal/>
    </border>
    <border diagonalUp="false" diagonalDown="false">
      <left style="thin">
        <color rgb="FFD4D1CA"/>
      </left>
      <right style="thin">
        <color rgb="FFD4D1CA"/>
      </right>
      <top style="thin">
        <color rgb="FFD4D1CA"/>
      </top>
      <bottom style="thin">
        <color rgb="FFD4D1C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7" fillId="4" borderId="0"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left" vertical="top" textRotation="0" wrapText="true" indent="0" shrinkToFit="false"/>
      <protection locked="true" hidden="false"/>
    </xf>
    <xf numFmtId="164" fontId="11" fillId="0" borderId="0" xfId="0" applyFont="true" applyBorder="false" applyAlignment="true" applyProtection="false">
      <alignment horizontal="left" vertical="center" textRotation="0" wrapText="tru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13" fillId="5" borderId="2" xfId="0" applyFont="true" applyBorder="true" applyAlignment="true" applyProtection="false">
      <alignment horizontal="center" vertical="center" textRotation="0" wrapText="true" indent="0" shrinkToFit="false"/>
      <protection locked="true" hidden="false"/>
    </xf>
    <xf numFmtId="164" fontId="14" fillId="3" borderId="2" xfId="0" applyFont="true" applyBorder="true" applyAlignment="true" applyProtection="false">
      <alignment horizontal="center" vertical="center" textRotation="0" wrapText="true" indent="0" shrinkToFit="false"/>
      <protection locked="true" hidden="false"/>
    </xf>
    <xf numFmtId="165" fontId="15" fillId="0" borderId="2" xfId="0" applyFont="true" applyBorder="true" applyAlignment="true" applyProtection="false">
      <alignment horizontal="center" vertical="center" textRotation="0" wrapText="true" indent="0" shrinkToFit="false"/>
      <protection locked="true" hidden="false"/>
    </xf>
    <xf numFmtId="165" fontId="16" fillId="0" borderId="2" xfId="0" applyFont="true" applyBorder="true" applyAlignment="true" applyProtection="false">
      <alignment horizontal="center" vertical="center" textRotation="0" wrapText="true" indent="0" shrinkToFit="false"/>
      <protection locked="true" hidden="false"/>
    </xf>
    <xf numFmtId="166" fontId="15" fillId="0" borderId="2" xfId="0" applyFont="true" applyBorder="true" applyAlignment="true" applyProtection="false">
      <alignment horizontal="center" vertical="center" textRotation="0" wrapText="true" indent="0" shrinkToFit="false"/>
      <protection locked="true" hidden="false"/>
    </xf>
    <xf numFmtId="166" fontId="16" fillId="0" borderId="2"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true" applyAlignment="true" applyProtection="false">
      <alignment horizontal="center" vertical="top" textRotation="0" wrapText="true" indent="0" shrinkToFit="false"/>
      <protection locked="true" hidden="false"/>
    </xf>
    <xf numFmtId="164" fontId="17" fillId="2" borderId="2"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center" vertical="center" textRotation="0" wrapText="true" indent="0" shrinkToFit="false"/>
      <protection locked="true" hidden="false"/>
    </xf>
    <xf numFmtId="164" fontId="6" fillId="0" borderId="2" xfId="0" applyFont="true" applyBorder="true" applyAlignment="true" applyProtection="false">
      <alignment horizontal="left" vertical="top" textRotation="0" wrapText="true" indent="0" shrinkToFit="false"/>
      <protection locked="true" hidden="false"/>
    </xf>
    <xf numFmtId="166" fontId="18" fillId="0" borderId="2" xfId="0" applyFont="true" applyBorder="true" applyAlignment="true" applyProtection="false">
      <alignment horizontal="center" vertical="center" textRotation="0" wrapText="true" indent="0" shrinkToFit="false"/>
      <protection locked="true" hidden="false"/>
    </xf>
    <xf numFmtId="164" fontId="19" fillId="0" borderId="2" xfId="0" applyFont="true" applyBorder="true" applyAlignment="true" applyProtection="false">
      <alignment horizontal="center" vertical="center" textRotation="0" wrapText="true" indent="0" shrinkToFit="false"/>
      <protection locked="true" hidden="false"/>
    </xf>
    <xf numFmtId="165" fontId="18" fillId="0" borderId="2" xfId="0" applyFont="true" applyBorder="true" applyAlignment="true" applyProtection="false">
      <alignment horizontal="center" vertical="center" textRotation="0" wrapText="true" indent="0" shrinkToFit="false"/>
      <protection locked="true" hidden="false"/>
    </xf>
    <xf numFmtId="164" fontId="20" fillId="0" borderId="0" xfId="0" applyFont="true" applyBorder="true" applyAlignment="true" applyProtection="false">
      <alignment horizontal="left" vertical="top" textRotation="0" wrapText="tru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8" fillId="6" borderId="0" xfId="0" applyFont="true" applyBorder="true" applyAlignment="true" applyProtection="false">
      <alignment horizontal="general" vertical="bottom" textRotation="0" wrapText="false" indent="0" shrinkToFit="false"/>
      <protection locked="true" hidden="false"/>
    </xf>
    <xf numFmtId="164" fontId="21" fillId="4"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left" vertical="top" textRotation="0" wrapText="true" indent="0" shrinkToFit="false"/>
      <protection locked="true" hidden="false"/>
    </xf>
    <xf numFmtId="165" fontId="0" fillId="0" borderId="2" xfId="0" applyFont="false" applyBorder="true" applyAlignment="true" applyProtection="false">
      <alignment horizontal="right"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left" vertical="top" textRotation="0" wrapText="true" indent="0" shrinkToFit="false"/>
      <protection locked="true" hidden="false"/>
    </xf>
    <xf numFmtId="167" fontId="0" fillId="0" borderId="2" xfId="0" applyFont="false" applyBorder="true" applyAlignment="true" applyProtection="false">
      <alignment horizontal="right" vertical="center" textRotation="0" wrapText="fals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7" fillId="5" borderId="0" xfId="0" applyFont="true" applyBorder="true" applyAlignment="true" applyProtection="false">
      <alignment horizontal="left" vertical="center" textRotation="0" wrapText="true" indent="0" shrinkToFit="false"/>
      <protection locked="true" hidden="false"/>
    </xf>
    <xf numFmtId="168" fontId="22" fillId="3" borderId="2" xfId="0" applyFont="true" applyBorder="true" applyAlignment="true" applyProtection="false">
      <alignment horizontal="right" vertical="center" textRotation="0" wrapText="false" indent="0" shrinkToFit="false"/>
      <protection locked="true" hidden="false"/>
    </xf>
    <xf numFmtId="164" fontId="12" fillId="0" borderId="0" xfId="0" applyFont="true" applyBorder="false" applyAlignment="true" applyProtection="false">
      <alignment horizontal="left" vertical="top" textRotation="0" wrapText="true" indent="0" shrinkToFit="false"/>
      <protection locked="true" hidden="false"/>
    </xf>
    <xf numFmtId="164" fontId="10" fillId="0" borderId="0" xfId="0" applyFont="true" applyBorder="false" applyAlignment="true" applyProtection="false">
      <alignment horizontal="center" vertical="center" textRotation="0" wrapText="true" indent="0" shrinkToFit="false"/>
      <protection locked="true" hidden="false"/>
    </xf>
    <xf numFmtId="166" fontId="22" fillId="3" borderId="2" xfId="0" applyFont="true" applyBorder="true" applyAlignment="true" applyProtection="false">
      <alignment horizontal="right" vertical="center" textRotation="0" wrapText="false" indent="0" shrinkToFit="false"/>
      <protection locked="true" hidden="false"/>
    </xf>
    <xf numFmtId="165" fontId="22" fillId="3" borderId="2" xfId="0" applyFont="true" applyBorder="true" applyAlignment="true" applyProtection="false">
      <alignment horizontal="right" vertical="center" textRotation="0" wrapText="false" indent="0" shrinkToFit="false"/>
      <protection locked="true" hidden="false"/>
    </xf>
    <xf numFmtId="169" fontId="22" fillId="3" borderId="2" xfId="0" applyFont="true" applyBorder="true" applyAlignment="true" applyProtection="false">
      <alignment horizontal="right" vertical="center" textRotation="0" wrapText="false" indent="0" shrinkToFit="false"/>
      <protection locked="true" hidden="false"/>
    </xf>
    <xf numFmtId="168" fontId="7" fillId="3" borderId="2" xfId="0" applyFont="true" applyBorder="true" applyAlignment="true" applyProtection="false">
      <alignment horizontal="right" vertical="center" textRotation="0" wrapText="false" indent="0" shrinkToFit="false"/>
      <protection locked="true" hidden="false"/>
    </xf>
    <xf numFmtId="165" fontId="7" fillId="3" borderId="2" xfId="0" applyFont="true" applyBorder="true" applyAlignment="true" applyProtection="false">
      <alignment horizontal="right" vertical="center" textRotation="0" wrapText="false" indent="0" shrinkToFit="false"/>
      <protection locked="true" hidden="false"/>
    </xf>
    <xf numFmtId="166" fontId="7" fillId="3" borderId="2" xfId="0" applyFont="true" applyBorder="true" applyAlignment="true" applyProtection="false">
      <alignment horizontal="right" vertical="center" textRotation="0" wrapText="false" indent="0" shrinkToFit="false"/>
      <protection locked="true" hidden="false"/>
    </xf>
    <xf numFmtId="164" fontId="12" fillId="0" borderId="0" xfId="0" applyFont="true" applyBorder="true" applyAlignment="true" applyProtection="false">
      <alignment horizontal="left" vertical="top" textRotation="0" wrapText="true" indent="0" shrinkToFit="false"/>
      <protection locked="true" hidden="false"/>
    </xf>
    <xf numFmtId="164" fontId="21" fillId="0" borderId="2" xfId="0" applyFont="true" applyBorder="true" applyAlignment="true" applyProtection="false">
      <alignment horizontal="general" vertical="bottom" textRotation="0" wrapText="false" indent="0" shrinkToFit="false"/>
      <protection locked="true" hidden="false"/>
    </xf>
    <xf numFmtId="164" fontId="23" fillId="0" borderId="2" xfId="0" applyFont="true" applyBorder="true" applyAlignment="true" applyProtection="false">
      <alignment horizontal="center" vertical="center" textRotation="0" wrapText="true" indent="0" shrinkToFit="false"/>
      <protection locked="true" hidden="false"/>
    </xf>
    <xf numFmtId="164" fontId="24"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70" fontId="10" fillId="0" borderId="2" xfId="0" applyFont="true" applyBorder="true" applyAlignment="true" applyProtection="false">
      <alignment horizontal="center" vertical="center" textRotation="0" wrapText="true" indent="0" shrinkToFit="false"/>
      <protection locked="true" hidden="false"/>
    </xf>
    <xf numFmtId="170" fontId="24" fillId="0" borderId="2" xfId="0" applyFont="true" applyBorder="true" applyAlignment="true" applyProtection="false">
      <alignment horizontal="center" vertical="center" textRotation="0" wrapText="true" indent="0" shrinkToFit="false"/>
      <protection locked="true" hidden="false"/>
    </xf>
    <xf numFmtId="165" fontId="10" fillId="0" borderId="2" xfId="0" applyFont="true" applyBorder="true" applyAlignment="true" applyProtection="false">
      <alignment horizontal="center" vertical="center" textRotation="0" wrapText="true" indent="0" shrinkToFit="false"/>
      <protection locked="true" hidden="false"/>
    </xf>
    <xf numFmtId="165" fontId="24" fillId="0" borderId="2" xfId="0" applyFont="true" applyBorder="true" applyAlignment="true" applyProtection="false">
      <alignment horizontal="center" vertical="center" textRotation="0" wrapText="true" indent="0" shrinkToFit="false"/>
      <protection locked="true" hidden="false"/>
    </xf>
    <xf numFmtId="167" fontId="0" fillId="0" borderId="2" xfId="0" applyFont="false" applyBorder="true" applyAlignment="true" applyProtection="false">
      <alignment horizontal="center" vertical="center" textRotation="0" wrapText="true" indent="0" shrinkToFit="false"/>
      <protection locked="true" hidden="false"/>
    </xf>
    <xf numFmtId="164" fontId="25" fillId="0" borderId="0" xfId="0" applyFont="true" applyBorder="true" applyAlignment="true" applyProtection="false">
      <alignment horizontal="general" vertical="bottom" textRotation="0" wrapText="false" indent="0" shrinkToFit="false"/>
      <protection locked="true" hidden="false"/>
    </xf>
    <xf numFmtId="164" fontId="8" fillId="6" borderId="2"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8" fontId="0" fillId="0" borderId="2" xfId="0" applyFont="false" applyBorder="true" applyAlignment="true" applyProtection="false">
      <alignment horizontal="right" vertical="center" textRotation="0" wrapText="false" indent="0" shrinkToFit="false"/>
      <protection locked="true" hidden="false"/>
    </xf>
    <xf numFmtId="164" fontId="21" fillId="4" borderId="2" xfId="0" applyFont="true" applyBorder="true" applyAlignment="true" applyProtection="false">
      <alignment horizontal="general" vertical="bottom" textRotation="0" wrapText="false" indent="0" shrinkToFit="false"/>
      <protection locked="true" hidden="false"/>
    </xf>
    <xf numFmtId="167" fontId="21" fillId="4" borderId="0" xfId="0" applyFont="true" applyBorder="false" applyAlignment="true" applyProtection="false">
      <alignment horizontal="right" vertical="center" textRotation="0" wrapText="false" indent="0" shrinkToFit="false"/>
      <protection locked="true" hidden="false"/>
    </xf>
    <xf numFmtId="167" fontId="21" fillId="4" borderId="2" xfId="0" applyFont="true" applyBorder="true" applyAlignment="true" applyProtection="false">
      <alignment horizontal="right" vertical="center"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7" fillId="4" borderId="2" xfId="0" applyFont="true" applyBorder="true" applyAlignment="true" applyProtection="false">
      <alignment horizontal="general" vertical="bottom" textRotation="0" wrapText="false" indent="0" shrinkToFit="false"/>
      <protection locked="true" hidden="false"/>
    </xf>
    <xf numFmtId="164" fontId="10" fillId="0" borderId="2" xfId="0" applyFont="true" applyBorder="tru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right" vertical="center" textRotation="0" wrapText="false" indent="0" shrinkToFit="false"/>
      <protection locked="true" hidden="false"/>
    </xf>
    <xf numFmtId="167" fontId="21" fillId="0" borderId="2" xfId="0" applyFont="true" applyBorder="true" applyAlignment="true" applyProtection="false">
      <alignment horizontal="right" vertical="center" textRotation="0" wrapText="false" indent="0" shrinkToFit="false"/>
      <protection locked="true" hidden="false"/>
    </xf>
    <xf numFmtId="165" fontId="0" fillId="0" borderId="0" xfId="0" applyFont="false" applyBorder="false" applyAlignment="true" applyProtection="false">
      <alignment horizontal="right" vertical="center" textRotation="0" wrapText="false" indent="0" shrinkToFit="false"/>
      <protection locked="true" hidden="false"/>
    </xf>
    <xf numFmtId="171" fontId="0" fillId="0" borderId="2" xfId="0" applyFont="false" applyBorder="true" applyAlignment="true" applyProtection="false">
      <alignment horizontal="right" vertical="center" textRotation="0" wrapText="false" indent="0" shrinkToFit="false"/>
      <protection locked="true" hidden="false"/>
    </xf>
    <xf numFmtId="172" fontId="0" fillId="0" borderId="2" xfId="0" applyFont="false" applyBorder="true" applyAlignment="true" applyProtection="false">
      <alignment horizontal="right" vertical="center" textRotation="0" wrapText="false" indent="0" shrinkToFit="false"/>
      <protection locked="true" hidden="false"/>
    </xf>
    <xf numFmtId="166" fontId="26" fillId="0" borderId="2" xfId="0" applyFont="true" applyBorder="true" applyAlignment="true" applyProtection="false">
      <alignment horizontal="right" vertical="center" textRotation="0" wrapText="false" indent="0" shrinkToFit="false"/>
      <protection locked="true" hidden="false"/>
    </xf>
    <xf numFmtId="166" fontId="27" fillId="5" borderId="2" xfId="0" applyFont="true" applyBorder="true" applyAlignment="true" applyProtection="false">
      <alignment horizontal="right" vertical="center" textRotation="0" wrapText="false" indent="0" shrinkToFit="false"/>
      <protection locked="true" hidden="false"/>
    </xf>
    <xf numFmtId="171" fontId="12" fillId="0" borderId="0" xfId="0" applyFont="true" applyBorder="false" applyAlignment="true" applyProtection="false">
      <alignment horizontal="left" vertical="top" textRotation="0" wrapText="true" indent="0" shrinkToFit="false"/>
      <protection locked="true" hidden="false"/>
    </xf>
    <xf numFmtId="165" fontId="28" fillId="0" borderId="2" xfId="0" applyFont="true" applyBorder="true" applyAlignment="true" applyProtection="false">
      <alignment horizontal="right" vertical="center" textRotation="0" wrapText="false" indent="0" shrinkToFit="false"/>
      <protection locked="true" hidden="false"/>
    </xf>
    <xf numFmtId="166" fontId="28" fillId="0" borderId="2" xfId="0" applyFont="true" applyBorder="true" applyAlignment="true" applyProtection="false">
      <alignment horizontal="right" vertical="center" textRotation="0" wrapText="false" indent="0" shrinkToFit="false"/>
      <protection locked="true" hidden="false"/>
    </xf>
    <xf numFmtId="164" fontId="21" fillId="0" borderId="0" xfId="0" applyFont="true" applyBorder="false" applyAlignment="true" applyProtection="false">
      <alignment horizontal="left" vertical="top" textRotation="0" wrapText="true" indent="0" shrinkToFit="false"/>
      <protection locked="true" hidden="false"/>
    </xf>
    <xf numFmtId="164" fontId="7" fillId="5" borderId="2" xfId="0" applyFont="true" applyBorder="true" applyAlignment="true" applyProtection="false">
      <alignment horizontal="center" vertical="center" textRotation="0" wrapText="true" indent="0" shrinkToFit="false"/>
      <protection locked="true" hidden="false"/>
    </xf>
    <xf numFmtId="166" fontId="29" fillId="0" borderId="2" xfId="0" applyFont="true" applyBorder="true" applyAlignment="true" applyProtection="false">
      <alignment horizontal="right" vertical="center" textRotation="0" wrapText="false" indent="0" shrinkToFit="false"/>
      <protection locked="true" hidden="false"/>
    </xf>
    <xf numFmtId="165" fontId="29" fillId="0" borderId="2" xfId="0" applyFont="true" applyBorder="true" applyAlignment="true" applyProtection="false">
      <alignment horizontal="right" vertical="center" textRotation="0" wrapText="false" indent="0" shrinkToFit="false"/>
      <protection locked="true" hidden="false"/>
    </xf>
    <xf numFmtId="164" fontId="21" fillId="7" borderId="0" xfId="0" applyFont="true" applyBorder="false" applyAlignment="true" applyProtection="false">
      <alignment horizontal="center" vertical="center" textRotation="0" wrapText="true" indent="0" shrinkToFit="false"/>
      <protection locked="true" hidden="false"/>
    </xf>
    <xf numFmtId="164" fontId="21" fillId="8" borderId="0" xfId="0" applyFont="true" applyBorder="false" applyAlignment="true" applyProtection="false">
      <alignment horizontal="center" vertical="center" textRotation="0" wrapText="true" indent="0" shrinkToFit="false"/>
      <protection locked="true" hidden="false"/>
    </xf>
    <xf numFmtId="164" fontId="21" fillId="9" borderId="0" xfId="0" applyFont="true" applyBorder="fals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general" vertical="bottom" textRotation="0" wrapText="false" indent="0" shrinkToFit="false"/>
      <protection locked="true" hidden="false"/>
    </xf>
    <xf numFmtId="164" fontId="30" fillId="0" borderId="2" xfId="0" applyFont="true" applyBorder="true" applyAlignment="true" applyProtection="false">
      <alignment horizontal="center" vertical="center" textRotation="0" wrapText="true" indent="0" shrinkToFit="false"/>
      <protection locked="true" hidden="false"/>
    </xf>
    <xf numFmtId="164" fontId="12" fillId="0" borderId="2" xfId="0" applyFont="true" applyBorder="true" applyAlignment="true" applyProtection="false">
      <alignment horizontal="left" vertical="top" textRotation="0" wrapText="true" indent="0" shrinkToFit="false"/>
      <protection locked="true" hidden="false"/>
    </xf>
    <xf numFmtId="164" fontId="31" fillId="0" borderId="2" xfId="0" applyFont="true" applyBorder="true" applyAlignment="true" applyProtection="false">
      <alignment horizontal="center" vertical="center" textRotation="0" wrapText="true" indent="0" shrinkToFit="false"/>
      <protection locked="true" hidden="false"/>
    </xf>
    <xf numFmtId="164" fontId="32" fillId="0" borderId="2" xfId="0" applyFont="true" applyBorder="true" applyAlignment="true" applyProtection="false">
      <alignment horizontal="center" vertical="center" textRotation="0" wrapText="true" indent="0" shrinkToFit="false"/>
      <protection locked="true" hidden="false"/>
    </xf>
    <xf numFmtId="164" fontId="6" fillId="0" borderId="2" xfId="0" applyFont="true" applyBorder="true" applyAlignment="true" applyProtection="false">
      <alignment horizontal="general" vertical="bottom" textRotation="0" wrapText="false" indent="0" shrinkToFit="false"/>
      <protection locked="true" hidden="false"/>
    </xf>
    <xf numFmtId="168" fontId="29" fillId="0" borderId="2" xfId="0" applyFont="true" applyBorder="true" applyAlignment="true" applyProtection="false">
      <alignment horizontal="right" vertical="center" textRotation="0" wrapText="false" indent="0" shrinkToFit="false"/>
      <protection locked="true" hidden="false"/>
    </xf>
    <xf numFmtId="169" fontId="29" fillId="0" borderId="2" xfId="0" applyFont="true" applyBorder="true" applyAlignment="true" applyProtection="false">
      <alignment horizontal="right" vertical="center" textRotation="0" wrapText="false" indent="0" shrinkToFit="false"/>
      <protection locked="true" hidden="false"/>
    </xf>
    <xf numFmtId="164" fontId="21" fillId="4" borderId="0" xfId="0" applyFont="true" applyBorder="false" applyAlignment="true" applyProtection="false">
      <alignment horizontal="center" vertical="center" textRotation="0" wrapText="true" indent="0" shrinkToFit="false"/>
      <protection locked="true" hidden="false"/>
    </xf>
    <xf numFmtId="168" fontId="0" fillId="0" borderId="0" xfId="0" applyFont="false" applyBorder="false" applyAlignment="true" applyProtection="false">
      <alignment horizontal="right" vertical="center" textRotation="0" wrapText="fals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8" fontId="21" fillId="4" borderId="0" xfId="0" applyFont="true" applyBorder="false" applyAlignment="true" applyProtection="false">
      <alignment horizontal="right" vertical="center" textRotation="0" wrapText="false" indent="0" shrinkToFit="false"/>
      <protection locked="true" hidden="false"/>
    </xf>
    <xf numFmtId="164" fontId="10" fillId="0" borderId="0" xfId="0" applyFont="true" applyBorder="false" applyAlignment="true" applyProtection="false">
      <alignment horizontal="left" vertical="top" textRotation="0" wrapText="true" indent="0" shrinkToFit="false"/>
      <protection locked="true" hidden="false"/>
    </xf>
    <xf numFmtId="165" fontId="21" fillId="0" borderId="0" xfId="0" applyFont="true" applyBorder="false" applyAlignment="true" applyProtection="false">
      <alignment horizontal="right" vertical="center" textRotation="0" wrapText="false" indent="0" shrinkToFit="false"/>
      <protection locked="true" hidden="false"/>
    </xf>
    <xf numFmtId="164" fontId="33" fillId="0" borderId="2" xfId="0" applyFont="true" applyBorder="true" applyAlignment="true" applyProtection="false">
      <alignment horizontal="center" vertical="center" textRotation="0" wrapText="true" indent="0" shrinkToFit="false"/>
      <protection locked="true" hidden="false"/>
    </xf>
    <xf numFmtId="164" fontId="34" fillId="0"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name val="Calibri"/>
        <charset val="1"/>
        <family val="0"/>
        <color rgb="FF6B1F2E"/>
      </font>
      <fill>
        <patternFill>
          <bgColor rgb="FFF4D6DD"/>
        </patternFill>
      </fill>
    </dxf>
    <dxf>
      <font>
        <name val="Calibri"/>
        <charset val="1"/>
        <family val="0"/>
        <color rgb="FF6B4F1A"/>
      </font>
      <fill>
        <patternFill>
          <bgColor rgb="FFFBEED2"/>
        </patternFill>
      </fill>
    </dxf>
    <dxf>
      <font>
        <name val="Calibri"/>
        <charset val="1"/>
        <family val="0"/>
        <color rgb="FF2E5418"/>
      </font>
      <fill>
        <patternFill>
          <bgColor rgb="FFDEEDD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6B4F1A"/>
      <rgbColor rgb="FF800080"/>
      <rgbColor rgb="FF20808D"/>
      <rgbColor rgb="FFD4D1CA"/>
      <rgbColor rgb="FF7A7974"/>
      <rgbColor rgb="FF9999FF"/>
      <rgbColor rgb="FFA12C7B"/>
      <rgbColor rgb="FFFFF8DC"/>
      <rgbColor rgb="FFD9EAEC"/>
      <rgbColor rgb="FF6B1F2E"/>
      <rgbColor rgb="FFFF8080"/>
      <rgbColor rgb="FF0070C0"/>
      <rgbColor rgb="FFF6E1E1"/>
      <rgbColor rgb="FF000080"/>
      <rgbColor rgb="FFFF00FF"/>
      <rgbColor rgb="FFFFFF00"/>
      <rgbColor rgb="FF00FFFF"/>
      <rgbColor rgb="FF800080"/>
      <rgbColor rgb="FF800000"/>
      <rgbColor rgb="FF01696F"/>
      <rgbColor rgb="FF0000FF"/>
      <rgbColor rgb="FF00CCFF"/>
      <rgbColor rgb="FFE6EFF0"/>
      <rgbColor rgb="FFDEEDD3"/>
      <rgbColor rgb="FFFBEED2"/>
      <rgbColor rgb="FFE7F2DC"/>
      <rgbColor rgb="FFFBFBF9"/>
      <rgbColor rgb="FFCC99FF"/>
      <rgbColor rgb="FFF4D6DD"/>
      <rgbColor rgb="FF3366FF"/>
      <rgbColor rgb="FF33CCCC"/>
      <rgbColor rgb="FF99CC00"/>
      <rgbColor rgb="FFFFCC00"/>
      <rgbColor rgb="FFFF9900"/>
      <rgbColor rgb="FFFF6600"/>
      <rgbColor rgb="FF666699"/>
      <rgbColor rgb="FF969696"/>
      <rgbColor rgb="FF1B474D"/>
      <rgbColor rgb="FF437A22"/>
      <rgbColor rgb="FF003300"/>
      <rgbColor rgb="FF2E5418"/>
      <rgbColor rgb="FF964219"/>
      <rgbColor rgb="FFA84B2F"/>
      <rgbColor rgb="FF1F4E79"/>
      <rgbColor rgb="FF28251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Vaitape_Hotel_Feasibility_Model_v7.xlsx" TargetMode="External"/><Relationship Id="rId2" Type="http://schemas.openxmlformats.org/officeDocument/2006/relationships/hyperlink" Target="Vaitape_Hotel_Feasibility_Model_v7.xlsx" TargetMode="External"/><Relationship Id="rId3" Type="http://schemas.openxmlformats.org/officeDocument/2006/relationships/hyperlink" Target="Vaitape_Hotel_Feasibility_Model_v7.xlsx" TargetMode="External"/><Relationship Id="rId4" Type="http://schemas.openxmlformats.org/officeDocument/2006/relationships/hyperlink" Target="Vaitape_Hotel_Feasibility_Model_v7.xlsx" TargetMode="External"/><Relationship Id="rId5" Type="http://schemas.openxmlformats.org/officeDocument/2006/relationships/hyperlink" Target="Vaitape_Hotel_Feasibility_Model_v7.xlsx" TargetMode="External"/><Relationship Id="rId6" Type="http://schemas.openxmlformats.org/officeDocument/2006/relationships/hyperlink" Target="Vaitape_Hotel_Feasibility_Model_v7.xlsx" TargetMode="External"/><Relationship Id="rId7" Type="http://schemas.openxmlformats.org/officeDocument/2006/relationships/hyperlink" Target="Vaitape_Hotel_Feasibility_Model_v7.xlsx" TargetMode="External"/><Relationship Id="rId8" Type="http://schemas.openxmlformats.org/officeDocument/2006/relationships/hyperlink" Target="Vaitape_Hotel_Feasibility_Model_v7.xlsx" TargetMode="External"/><Relationship Id="rId9" Type="http://schemas.openxmlformats.org/officeDocument/2006/relationships/hyperlink" Target="Vaitape_Hotel_Feasibility_Model_v7.xlsx" TargetMode="External"/><Relationship Id="rId10" Type="http://schemas.openxmlformats.org/officeDocument/2006/relationships/hyperlink" Target="Vaitape_Hotel_Feasibility_Model_v7.xlsx" TargetMode="External"/><Relationship Id="rId11" Type="http://schemas.openxmlformats.org/officeDocument/2006/relationships/hyperlink" Target="Vaitape_Hotel_Feasibility_Model_v7.xlsx" TargetMode="External"/><Relationship Id="rId12" Type="http://schemas.openxmlformats.org/officeDocument/2006/relationships/hyperlink" Target="Vaitape_Hotel_Feasibility_Model_v7.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251D"/>
    <pageSetUpPr fitToPage="false"/>
  </sheetPr>
  <dimension ref="B2:C33"/>
  <sheetViews>
    <sheetView showFormulas="false" showGridLines="false" showRowColHeaders="true" showZeros="true" rightToLeft="false" tabSelected="true" showOutlineSymbols="true" defaultGridColor="true" view="normal" topLeftCell="A1" colorId="64" zoomScale="110" zoomScaleNormal="11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50"/>
    <col collapsed="false" customWidth="true" hidden="false" outlineLevel="0" max="3" min="3" style="1" width="60"/>
    <col collapsed="false" customWidth="true" hidden="false" outlineLevel="0" max="4" min="4" style="1" width="3"/>
  </cols>
  <sheetData>
    <row r="2" customFormat="false" ht="27.75" hidden="false" customHeight="true" outlineLevel="0" collapsed="false">
      <c r="B2" s="2" t="s">
        <v>0</v>
      </c>
    </row>
    <row r="3" customFormat="false" ht="15" hidden="false" customHeight="true" outlineLevel="0" collapsed="false">
      <c r="B3" s="3" t="s">
        <v>1</v>
      </c>
    </row>
    <row r="5" customFormat="false" ht="15" hidden="false" customHeight="true" outlineLevel="0" collapsed="false">
      <c r="B5" s="4" t="s">
        <v>2</v>
      </c>
      <c r="C5" s="5" t="s">
        <v>3</v>
      </c>
    </row>
    <row r="6" customFormat="false" ht="15" hidden="false" customHeight="true" outlineLevel="0" collapsed="false">
      <c r="B6" s="4" t="s">
        <v>4</v>
      </c>
      <c r="C6" s="5" t="s">
        <v>5</v>
      </c>
    </row>
    <row r="7" customFormat="false" ht="15" hidden="false" customHeight="true" outlineLevel="0" collapsed="false">
      <c r="B7" s="4" t="s">
        <v>6</v>
      </c>
      <c r="C7" s="5" t="s">
        <v>7</v>
      </c>
    </row>
    <row r="8" customFormat="false" ht="15" hidden="false" customHeight="true" outlineLevel="0" collapsed="false">
      <c r="B8" s="4" t="s">
        <v>8</v>
      </c>
      <c r="C8" s="5" t="s">
        <v>9</v>
      </c>
    </row>
    <row r="9" customFormat="false" ht="15" hidden="false" customHeight="true" outlineLevel="0" collapsed="false">
      <c r="B9" s="4" t="s">
        <v>10</v>
      </c>
      <c r="C9" s="5" t="s">
        <v>11</v>
      </c>
    </row>
    <row r="12" customFormat="false" ht="21.75" hidden="false" customHeight="true" outlineLevel="0" collapsed="false">
      <c r="B12" s="6" t="s">
        <v>12</v>
      </c>
      <c r="C12" s="6"/>
    </row>
    <row r="13" customFormat="false" ht="18" hidden="false" customHeight="true" outlineLevel="0" collapsed="false">
      <c r="B13" s="7" t="s">
        <v>13</v>
      </c>
      <c r="C13" s="7" t="s">
        <v>14</v>
      </c>
    </row>
    <row r="14" customFormat="false" ht="18" hidden="false" customHeight="true" outlineLevel="0" collapsed="false">
      <c r="B14" s="8" t="s">
        <v>15</v>
      </c>
      <c r="C14" s="9" t="s">
        <v>16</v>
      </c>
    </row>
    <row r="15" customFormat="false" ht="18" hidden="false" customHeight="true" outlineLevel="0" collapsed="false">
      <c r="B15" s="8" t="s">
        <v>17</v>
      </c>
      <c r="C15" s="9" t="s">
        <v>18</v>
      </c>
    </row>
    <row r="16" customFormat="false" ht="18" hidden="false" customHeight="true" outlineLevel="0" collapsed="false">
      <c r="B16" s="8" t="s">
        <v>19</v>
      </c>
      <c r="C16" s="9" t="s">
        <v>20</v>
      </c>
    </row>
    <row r="17" customFormat="false" ht="18" hidden="false" customHeight="true" outlineLevel="0" collapsed="false">
      <c r="B17" s="8" t="s">
        <v>21</v>
      </c>
      <c r="C17" s="9" t="s">
        <v>22</v>
      </c>
    </row>
    <row r="18" customFormat="false" ht="18" hidden="false" customHeight="true" outlineLevel="0" collapsed="false">
      <c r="B18" s="8" t="s">
        <v>23</v>
      </c>
      <c r="C18" s="9" t="s">
        <v>24</v>
      </c>
    </row>
    <row r="19" customFormat="false" ht="18" hidden="false" customHeight="true" outlineLevel="0" collapsed="false">
      <c r="B19" s="8" t="s">
        <v>25</v>
      </c>
      <c r="C19" s="9" t="s">
        <v>26</v>
      </c>
    </row>
    <row r="20" customFormat="false" ht="18" hidden="false" customHeight="true" outlineLevel="0" collapsed="false">
      <c r="B20" s="8" t="s">
        <v>27</v>
      </c>
      <c r="C20" s="9" t="s">
        <v>28</v>
      </c>
    </row>
    <row r="21" customFormat="false" ht="18" hidden="false" customHeight="true" outlineLevel="0" collapsed="false">
      <c r="B21" s="8" t="s">
        <v>29</v>
      </c>
      <c r="C21" s="9" t="s">
        <v>30</v>
      </c>
    </row>
    <row r="22" customFormat="false" ht="18" hidden="false" customHeight="true" outlineLevel="0" collapsed="false">
      <c r="B22" s="8" t="s">
        <v>31</v>
      </c>
      <c r="C22" s="9" t="s">
        <v>32</v>
      </c>
    </row>
    <row r="23" customFormat="false" ht="18" hidden="false" customHeight="true" outlineLevel="0" collapsed="false">
      <c r="B23" s="8" t="s">
        <v>33</v>
      </c>
      <c r="C23" s="9" t="s">
        <v>34</v>
      </c>
    </row>
    <row r="24" customFormat="false" ht="18" hidden="false" customHeight="true" outlineLevel="0" collapsed="false">
      <c r="B24" s="8" t="s">
        <v>35</v>
      </c>
      <c r="C24" s="9" t="s">
        <v>36</v>
      </c>
    </row>
    <row r="25" customFormat="false" ht="18" hidden="false" customHeight="true" outlineLevel="0" collapsed="false">
      <c r="B25" s="8" t="s">
        <v>37</v>
      </c>
      <c r="C25" s="9" t="s">
        <v>38</v>
      </c>
    </row>
    <row r="26" customFormat="false" ht="18" hidden="false" customHeight="true" outlineLevel="0" collapsed="false">
      <c r="B26" s="10" t="s">
        <v>39</v>
      </c>
      <c r="C26" s="10"/>
    </row>
    <row r="27" customFormat="false" ht="139.5" hidden="false" customHeight="true" outlineLevel="0" collapsed="false">
      <c r="B27" s="11" t="s">
        <v>40</v>
      </c>
      <c r="C27" s="11"/>
    </row>
    <row r="28" customFormat="false" ht="21.75" hidden="false" customHeight="true" outlineLevel="0" collapsed="false">
      <c r="B28" s="6" t="s">
        <v>41</v>
      </c>
      <c r="C28" s="6"/>
    </row>
    <row r="29" customFormat="false" ht="15" hidden="false" customHeight="true" outlineLevel="0" collapsed="false">
      <c r="B29" s="5" t="s">
        <v>42</v>
      </c>
      <c r="C29" s="4" t="s">
        <v>43</v>
      </c>
    </row>
    <row r="30" customFormat="false" ht="15" hidden="false" customHeight="true" outlineLevel="0" collapsed="false">
      <c r="B30" s="5" t="s">
        <v>44</v>
      </c>
      <c r="C30" s="4" t="s">
        <v>45</v>
      </c>
    </row>
    <row r="31" customFormat="false" ht="15" hidden="false" customHeight="true" outlineLevel="0" collapsed="false">
      <c r="B31" s="5" t="s">
        <v>46</v>
      </c>
      <c r="C31" s="4" t="s">
        <v>47</v>
      </c>
    </row>
    <row r="32" customFormat="false" ht="15" hidden="false" customHeight="true" outlineLevel="0" collapsed="false">
      <c r="B32" s="5" t="s">
        <v>48</v>
      </c>
      <c r="C32" s="4" t="s">
        <v>49</v>
      </c>
    </row>
    <row r="33" customFormat="false" ht="15" hidden="false" customHeight="true" outlineLevel="0" collapsed="false">
      <c r="B33" s="5" t="s">
        <v>8</v>
      </c>
      <c r="C33" s="4" t="s">
        <v>50</v>
      </c>
    </row>
  </sheetData>
  <mergeCells count="4">
    <mergeCell ref="B12:C12"/>
    <mergeCell ref="B26:C26"/>
    <mergeCell ref="B27:C27"/>
    <mergeCell ref="B28:C28"/>
  </mergeCells>
  <hyperlinks>
    <hyperlink ref="B14" r:id="rId1" location="'6.2%20Verdict'!A1" display="6.2 Verdict"/>
    <hyperlink ref="B15" r:id="rId2" location="'6.3%20Inputs'!A1" display="6.3 Inputs"/>
    <hyperlink ref="B16" r:id="rId3" location="'6.3.1%20Demand-Rev'!A1" display="6.3.1 Demand-Rev"/>
    <hyperlink ref="B17" r:id="rId4" location="'6.3.2%20Rev-NOI'!A1" display="6.3.2 Rev-NOI"/>
    <hyperlink ref="B18" r:id="rId5" location="'6.3.3a%20NOI-AV'!A1" display="6.3.3a NOI-AV"/>
    <hyperlink ref="B19" r:id="rId6" location="'6.3.3b%20DCF'!A1" display="6.3.3b DCF"/>
    <hyperlink ref="B20" r:id="rId7" location="'6.4%20ADR-Occ'!A1" display="6.4 ADR-Occ"/>
    <hyperlink ref="B21" r:id="rId8" location="'C.9%20CapRate-OpCost'!A1" display="C.9 CapRate-OpCost"/>
    <hyperlink ref="B22" r:id="rId9" location="'C.7%20Independence'!A1" display="C.7 Independence"/>
    <hyperlink ref="B23" r:id="rId10" location="'C.8%20Defisc'!A1" display="C.8 Defisc"/>
    <hyperlink ref="B24" r:id="rId11" location="'Space%20Programme'!A1" display="Space Utilisation Plan"/>
    <hyperlink ref="B25" r:id="rId12" location="'Sources'!A1" display="Sourc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1696F"/>
    <pageSetUpPr fitToPage="false"/>
  </sheetPr>
  <dimension ref="B2:G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7" min="2" style="1" width="22"/>
  </cols>
  <sheetData>
    <row r="2" customFormat="false" ht="109.5" hidden="false" customHeight="true" outlineLevel="0" collapsed="false">
      <c r="B2" s="12" t="s">
        <v>51</v>
      </c>
    </row>
    <row r="3" customFormat="false" ht="15" hidden="false" customHeight="true" outlineLevel="0" collapsed="false">
      <c r="B3" s="13" t="s">
        <v>52</v>
      </c>
      <c r="C3" s="13"/>
      <c r="D3" s="13"/>
      <c r="E3" s="13"/>
      <c r="F3" s="13"/>
      <c r="G3" s="13"/>
    </row>
    <row r="5" customFormat="false" ht="21.75" hidden="false" customHeight="true" outlineLevel="0" collapsed="false">
      <c r="B5" s="6" t="s">
        <v>53</v>
      </c>
      <c r="C5" s="6"/>
      <c r="D5" s="6"/>
      <c r="E5" s="6"/>
      <c r="F5" s="6"/>
      <c r="G5" s="6"/>
    </row>
    <row r="6" customFormat="false" ht="24" hidden="false" customHeight="true" outlineLevel="0" collapsed="false">
      <c r="B6" s="14" t="s">
        <v>54</v>
      </c>
      <c r="C6" s="14"/>
      <c r="D6" s="14" t="s">
        <v>55</v>
      </c>
      <c r="E6" s="14"/>
      <c r="F6" s="14" t="s">
        <v>56</v>
      </c>
      <c r="G6" s="14"/>
    </row>
    <row r="7" customFormat="false" ht="15.75" hidden="false" customHeight="true" outlineLevel="0" collapsed="false">
      <c r="B7" s="15" t="s">
        <v>57</v>
      </c>
      <c r="C7" s="15" t="s">
        <v>58</v>
      </c>
      <c r="D7" s="15" t="s">
        <v>57</v>
      </c>
      <c r="E7" s="15" t="s">
        <v>58</v>
      </c>
      <c r="F7" s="15" t="s">
        <v>57</v>
      </c>
      <c r="G7" s="15" t="s">
        <v>58</v>
      </c>
    </row>
    <row r="8" customFormat="false" ht="36" hidden="false" customHeight="true" outlineLevel="0" collapsed="false">
      <c r="B8" s="16" t="n">
        <f aca="false">'6.3.3b DCF'!$D$22</f>
        <v>0.132132781593379</v>
      </c>
      <c r="C8" s="17" t="n">
        <f aca="false">'6.3.3b DCF'!$E$22</f>
        <v>0.0796021588847064</v>
      </c>
      <c r="D8" s="18" t="n">
        <f aca="false">'6.3.3a NOI-AV'!$C$20</f>
        <v>0.04839245125</v>
      </c>
      <c r="E8" s="19" t="n">
        <f aca="false">'6.3.3a NOI-AV'!$E$20</f>
        <v>0.00914121812499999</v>
      </c>
      <c r="F8" s="16" t="n">
        <f aca="false">'6.3.3a NOI-AV'!$C$20</f>
        <v>0.04839245125</v>
      </c>
      <c r="G8" s="17" t="n">
        <f aca="false">'6.3.3a NOI-AV'!$E$20</f>
        <v>0.00914121812499999</v>
      </c>
    </row>
    <row r="9" customFormat="false" ht="30" hidden="false" customHeight="true" outlineLevel="0" collapsed="false">
      <c r="B9" s="20" t="s">
        <v>59</v>
      </c>
      <c r="C9" s="20"/>
      <c r="D9" s="20" t="s">
        <v>60</v>
      </c>
      <c r="E9" s="20"/>
      <c r="F9" s="20" t="s">
        <v>61</v>
      </c>
      <c r="G9" s="20"/>
    </row>
    <row r="11" customFormat="false" ht="21.75" hidden="false" customHeight="true" outlineLevel="0" collapsed="false">
      <c r="B11" s="6" t="s">
        <v>62</v>
      </c>
      <c r="C11" s="6"/>
      <c r="D11" s="6"/>
      <c r="E11" s="6"/>
      <c r="F11" s="6"/>
      <c r="G11" s="6"/>
    </row>
    <row r="12" customFormat="false" ht="24" hidden="false" customHeight="true" outlineLevel="0" collapsed="false">
      <c r="B12" s="14" t="s">
        <v>63</v>
      </c>
      <c r="C12" s="14"/>
      <c r="D12" s="14" t="s">
        <v>64</v>
      </c>
      <c r="E12" s="14"/>
      <c r="F12" s="14" t="s">
        <v>65</v>
      </c>
      <c r="G12" s="14"/>
    </row>
    <row r="13" customFormat="false" ht="15.75" hidden="false" customHeight="true" outlineLevel="0" collapsed="false">
      <c r="B13" s="15" t="s">
        <v>57</v>
      </c>
      <c r="C13" s="15" t="s">
        <v>58</v>
      </c>
      <c r="D13" s="15" t="s">
        <v>57</v>
      </c>
      <c r="E13" s="15" t="s">
        <v>58</v>
      </c>
      <c r="F13" s="15" t="s">
        <v>57</v>
      </c>
      <c r="G13" s="15" t="s">
        <v>58</v>
      </c>
    </row>
    <row r="14" customFormat="false" ht="36" hidden="false" customHeight="true" outlineLevel="0" collapsed="false">
      <c r="B14" s="18" t="n">
        <f aca="false">'6.3.3b DCF'!$D$23</f>
        <v>27509295.8689708</v>
      </c>
      <c r="C14" s="19" t="n">
        <f aca="false">'6.3.3b DCF'!$E$23</f>
        <v>3555433.73914214</v>
      </c>
      <c r="D14" s="18" t="n">
        <f aca="false">'6.3.3b DCF'!$D$24</f>
        <v>16438556.9944855</v>
      </c>
      <c r="E14" s="19" t="n">
        <f aca="false">'6.3.3b DCF'!$E$24</f>
        <v>-3414873.69596192</v>
      </c>
      <c r="F14" s="18" t="n">
        <f aca="false">'6.3.3b DCF'!$D$25</f>
        <v>7652968.73807797</v>
      </c>
      <c r="G14" s="19" t="n">
        <f aca="false">'6.3.3b DCF'!$E$25</f>
        <v>-8903665.18398358</v>
      </c>
    </row>
    <row r="15" customFormat="false" ht="30" hidden="false" customHeight="true" outlineLevel="0" collapsed="false">
      <c r="B15" s="20" t="s">
        <v>66</v>
      </c>
      <c r="C15" s="20"/>
      <c r="D15" s="20" t="s">
        <v>67</v>
      </c>
      <c r="E15" s="20"/>
      <c r="F15" s="20" t="s">
        <v>68</v>
      </c>
      <c r="G15" s="20"/>
    </row>
    <row r="17" customFormat="false" ht="21.75" hidden="false" customHeight="true" outlineLevel="0" collapsed="false">
      <c r="B17" s="6" t="s">
        <v>69</v>
      </c>
      <c r="C17" s="6"/>
      <c r="D17" s="6"/>
      <c r="E17" s="6"/>
      <c r="F17" s="6"/>
      <c r="G17" s="6"/>
    </row>
    <row r="18" customFormat="false" ht="24" hidden="false" customHeight="true" outlineLevel="0" collapsed="false">
      <c r="B18" s="21" t="s">
        <v>70</v>
      </c>
      <c r="C18" s="21" t="s">
        <v>71</v>
      </c>
      <c r="D18" s="21"/>
      <c r="E18" s="21" t="s">
        <v>57</v>
      </c>
      <c r="F18" s="21" t="s">
        <v>58</v>
      </c>
      <c r="G18" s="21" t="s">
        <v>72</v>
      </c>
    </row>
    <row r="19" customFormat="false" ht="27.75" hidden="false" customHeight="true" outlineLevel="0" collapsed="false">
      <c r="B19" s="22" t="s">
        <v>73</v>
      </c>
      <c r="C19" s="23" t="s">
        <v>74</v>
      </c>
      <c r="D19" s="23"/>
      <c r="E19" s="24" t="n">
        <f aca="false">'6.3.3a NOI-AV'!$C$20</f>
        <v>0.04839245125</v>
      </c>
      <c r="F19" s="24" t="n">
        <f aca="false">'6.3.3a NOI-AV'!$E$20</f>
        <v>0.00914121812499999</v>
      </c>
      <c r="G19" s="25" t="str">
        <f aca="false">IF(AND('6.3.3a NOI-AV'!$C$20&gt;'6.3 Inputs'!$C$53,'6.3.3a NOI-AV'!$E$20&gt;'6.3 Inputs'!$C$53),"PASS — both cases","CHECK")</f>
        <v>CHECK</v>
      </c>
    </row>
    <row r="20" customFormat="false" ht="27.75" hidden="false" customHeight="true" outlineLevel="0" collapsed="false">
      <c r="B20" s="22" t="s">
        <v>75</v>
      </c>
      <c r="C20" s="23" t="s">
        <v>76</v>
      </c>
      <c r="D20" s="23"/>
      <c r="E20" s="26" t="n">
        <f aca="false">'6.3.3b DCF'!$D$22</f>
        <v>0.132132781593379</v>
      </c>
      <c r="F20" s="26" t="n">
        <f aca="false">'6.3.3b DCF'!$E$22</f>
        <v>0.0796021588847064</v>
      </c>
      <c r="G20" s="25" t="str">
        <f aca="false">IF(AND('6.3.3b DCF'!$E$22&gt;=0.08,'6.3.3b DCF'!$E$23&gt;0),"PASS — patient-capital","CHECK")</f>
        <v>CHECK</v>
      </c>
    </row>
    <row r="21" customFormat="false" ht="27.75" hidden="false" customHeight="true" outlineLevel="0" collapsed="false">
      <c r="B21" s="22" t="s">
        <v>77</v>
      </c>
      <c r="C21" s="23" t="s">
        <v>78</v>
      </c>
      <c r="D21" s="23"/>
      <c r="E21" s="26" t="n">
        <f aca="false">'6.3.3a NOI-AV'!$C$20</f>
        <v>0.04839245125</v>
      </c>
      <c r="F21" s="26" t="n">
        <f aca="false">'6.3.3a NOI-AV'!$E$20</f>
        <v>0.00914121812499999</v>
      </c>
      <c r="G21" s="25" t="str">
        <f aca="false">IF(AND('6.3.3a NOI-AV'!$C$20&gt;=0.01,'6.3.3a NOI-AV'!$E$20&gt;=0.01),"PASS — both cases","CHECK")</f>
        <v>CHECK</v>
      </c>
    </row>
    <row r="23" customFormat="false" ht="21.75" hidden="false" customHeight="true" outlineLevel="0" collapsed="false">
      <c r="B23" s="6" t="s">
        <v>79</v>
      </c>
      <c r="C23" s="6"/>
      <c r="D23" s="6"/>
      <c r="E23" s="6"/>
      <c r="F23" s="6"/>
      <c r="G23" s="6"/>
    </row>
    <row r="24" customFormat="false" ht="129.75" hidden="false" customHeight="true" outlineLevel="0" collapsed="false">
      <c r="B24" s="27" t="s">
        <v>80</v>
      </c>
      <c r="C24" s="27"/>
      <c r="D24" s="27"/>
      <c r="E24" s="27"/>
      <c r="F24" s="27"/>
      <c r="G24" s="27"/>
    </row>
    <row r="26" customFormat="false" ht="21.75" hidden="false" customHeight="true" outlineLevel="0" collapsed="false">
      <c r="B26" s="6" t="s">
        <v>81</v>
      </c>
      <c r="C26" s="6"/>
      <c r="D26" s="6"/>
      <c r="E26" s="6"/>
      <c r="F26" s="6"/>
      <c r="G26" s="6"/>
    </row>
    <row r="27" customFormat="false" ht="24" hidden="false" customHeight="true" outlineLevel="0" collapsed="false">
      <c r="B27" s="5" t="s">
        <v>4</v>
      </c>
      <c r="C27" s="28" t="s">
        <v>82</v>
      </c>
      <c r="D27" s="28"/>
      <c r="E27" s="28"/>
      <c r="F27" s="28"/>
      <c r="G27" s="28"/>
    </row>
    <row r="28" customFormat="false" ht="24" hidden="false" customHeight="true" outlineLevel="0" collapsed="false">
      <c r="B28" s="5" t="s">
        <v>6</v>
      </c>
      <c r="C28" s="28" t="s">
        <v>83</v>
      </c>
      <c r="D28" s="28"/>
      <c r="E28" s="28"/>
      <c r="F28" s="28"/>
      <c r="G28" s="28"/>
    </row>
    <row r="29" customFormat="false" ht="24" hidden="false" customHeight="true" outlineLevel="0" collapsed="false">
      <c r="B29" s="5" t="s">
        <v>8</v>
      </c>
      <c r="C29" s="28" t="s">
        <v>84</v>
      </c>
      <c r="D29" s="28"/>
      <c r="E29" s="28"/>
      <c r="F29" s="28"/>
      <c r="G29" s="28"/>
    </row>
    <row r="30" customFormat="false" ht="24" hidden="false" customHeight="true" outlineLevel="0" collapsed="false">
      <c r="B30" s="5" t="s">
        <v>85</v>
      </c>
      <c r="C30" s="28" t="s">
        <v>86</v>
      </c>
      <c r="D30" s="28"/>
      <c r="E30" s="28"/>
      <c r="F30" s="28"/>
      <c r="G30" s="28"/>
    </row>
    <row r="31" customFormat="false" ht="24" hidden="false" customHeight="true" outlineLevel="0" collapsed="false">
      <c r="B31" s="5" t="s">
        <v>87</v>
      </c>
      <c r="C31" s="28" t="s">
        <v>88</v>
      </c>
      <c r="D31" s="28"/>
      <c r="E31" s="28"/>
      <c r="F31" s="28"/>
      <c r="G31" s="28"/>
    </row>
    <row r="35" customFormat="false" ht="15" hidden="false" customHeight="true" outlineLevel="0" collapsed="false">
      <c r="B35" s="29" t="s">
        <v>89</v>
      </c>
      <c r="C35" s="29"/>
      <c r="D35" s="29"/>
      <c r="E35" s="29"/>
      <c r="F35" s="29"/>
      <c r="G35" s="29"/>
    </row>
    <row r="36" customFormat="false" ht="15" hidden="false" customHeight="true" outlineLevel="0" collapsed="false">
      <c r="B36" s="30" t="s">
        <v>90</v>
      </c>
      <c r="C36" s="30" t="s">
        <v>91</v>
      </c>
      <c r="D36" s="30" t="s">
        <v>92</v>
      </c>
      <c r="E36" s="30" t="s">
        <v>93</v>
      </c>
      <c r="F36" s="30" t="s">
        <v>72</v>
      </c>
    </row>
    <row r="37" customFormat="false" ht="15" hidden="false" customHeight="true" outlineLevel="0" collapsed="false">
      <c r="B37" s="31" t="s">
        <v>94</v>
      </c>
      <c r="C37" s="32" t="n">
        <f aca="false">'6.3 Inputs'!$C$13</f>
        <v>0.35</v>
      </c>
      <c r="D37" s="32" t="n">
        <f aca="false">'6.3 Inputs'!$C$13</f>
        <v>0.35</v>
      </c>
      <c r="E37" s="33" t="s">
        <v>95</v>
      </c>
      <c r="F37" s="34" t="s">
        <v>96</v>
      </c>
    </row>
    <row r="38" customFormat="false" ht="15" hidden="false" customHeight="true" outlineLevel="0" collapsed="false">
      <c r="B38" s="31" t="s">
        <v>97</v>
      </c>
      <c r="C38" s="35" t="n">
        <f aca="false">'6.3.1 Demand-Rev'!$C$16</f>
        <v>1397.5</v>
      </c>
      <c r="D38" s="35" t="n">
        <f aca="false">'6.3.1 Demand-Rev'!$E$16</f>
        <v>913.75</v>
      </c>
      <c r="E38" s="33" t="s">
        <v>98</v>
      </c>
      <c r="F38" s="34" t="s">
        <v>98</v>
      </c>
    </row>
    <row r="39" customFormat="false" ht="15" hidden="false" customHeight="true" outlineLevel="0" collapsed="false">
      <c r="B39" s="31" t="s">
        <v>99</v>
      </c>
      <c r="C39" s="35" t="n">
        <f aca="false">'6.3.1 Demand-Rev'!$C$15/'6.3.1 Demand-Rev'!$C$13*(1+'6.3.1 Demand-Rev'!$C$17)</f>
        <v>1886.625</v>
      </c>
      <c r="D39" s="35" t="n">
        <f aca="false">'6.3.1 Demand-Rev'!$E$15/'6.3.1 Demand-Rev'!$E$13*(1+'6.3.1 Demand-Rev'!$E$17)</f>
        <v>1233.5625</v>
      </c>
      <c r="E39" s="33" t="s">
        <v>98</v>
      </c>
      <c r="F39" s="34" t="s">
        <v>98</v>
      </c>
    </row>
    <row r="40" customFormat="false" ht="15" hidden="false" customHeight="true" outlineLevel="0" collapsed="false">
      <c r="B40" s="31" t="s">
        <v>100</v>
      </c>
      <c r="C40" s="35" t="n">
        <f aca="false">'6.3.1 Demand-Rev'!$C$19</f>
        <v>24101634.375</v>
      </c>
      <c r="D40" s="35" t="n">
        <f aca="false">'6.3.1 Demand-Rev'!$E$19</f>
        <v>15758760.9375</v>
      </c>
      <c r="E40" s="33" t="s">
        <v>98</v>
      </c>
      <c r="F40" s="34" t="s">
        <v>98</v>
      </c>
    </row>
    <row r="41" customFormat="false" ht="15" hidden="false" customHeight="true" outlineLevel="0" collapsed="false">
      <c r="B41" s="31" t="s">
        <v>101</v>
      </c>
      <c r="C41" s="32" t="n">
        <f aca="false">'6.3.2 Rev-NOI'!$C$19</f>
        <v>0.28</v>
      </c>
      <c r="D41" s="32" t="n">
        <f aca="false">'6.3.2 Rev-NOI'!$E$19</f>
        <v>0.28</v>
      </c>
      <c r="E41" s="33" t="s">
        <v>102</v>
      </c>
      <c r="F41" s="34" t="s">
        <v>103</v>
      </c>
    </row>
    <row r="42" customFormat="false" ht="15" hidden="false" customHeight="true" outlineLevel="0" collapsed="false">
      <c r="B42" s="31" t="s">
        <v>104</v>
      </c>
      <c r="C42" s="35" t="n">
        <f aca="false">'6.3.2 Rev-NOI'!$C$33</f>
        <v>4762482.9525</v>
      </c>
      <c r="D42" s="35" t="n">
        <f aca="false">'6.3.2 Rev-NOI'!$E$33</f>
        <v>3113931.16125</v>
      </c>
      <c r="E42" s="33" t="s">
        <v>98</v>
      </c>
      <c r="F42" s="34" t="s">
        <v>98</v>
      </c>
    </row>
    <row r="43" customFormat="false" ht="15" hidden="false" customHeight="true" outlineLevel="0" collapsed="false">
      <c r="B43" s="31" t="s">
        <v>105</v>
      </c>
      <c r="C43" s="32" t="n">
        <f aca="false">'6.3.3a NOI-AV'!$C$19</f>
        <v>0.11339245125</v>
      </c>
      <c r="D43" s="32" t="n">
        <f aca="false">'6.3.3a NOI-AV'!$E$19</f>
        <v>0.074141218125</v>
      </c>
      <c r="E43" s="33" t="s">
        <v>106</v>
      </c>
      <c r="F43" s="34" t="s">
        <v>107</v>
      </c>
    </row>
    <row r="44" customFormat="false" ht="21.75" hidden="false" customHeight="true" outlineLevel="0" collapsed="false">
      <c r="B44" s="31" t="s">
        <v>108</v>
      </c>
      <c r="C44" s="32" t="n">
        <f aca="false">'6.3.3b DCF'!$D$22</f>
        <v>0.132132781593379</v>
      </c>
      <c r="D44" s="32" t="n">
        <f aca="false">'6.3.3b DCF'!$E$22</f>
        <v>0.0796021588847064</v>
      </c>
      <c r="E44" s="33" t="s">
        <v>109</v>
      </c>
      <c r="F44" s="34" t="s">
        <v>110</v>
      </c>
    </row>
    <row r="45" customFormat="false" ht="15" hidden="false" customHeight="true" outlineLevel="0" collapsed="false">
      <c r="B45" s="31" t="s">
        <v>111</v>
      </c>
      <c r="C45" s="35" t="n">
        <f aca="false">'6.3.3b DCF'!$D$23</f>
        <v>27509295.8689708</v>
      </c>
      <c r="D45" s="35" t="n">
        <f aca="false">'6.3.3b DCF'!$E$23</f>
        <v>3555433.73914214</v>
      </c>
      <c r="E45" s="33" t="s">
        <v>112</v>
      </c>
      <c r="F45" s="34" t="s">
        <v>113</v>
      </c>
    </row>
    <row r="46" customFormat="false" ht="21.75" hidden="false" customHeight="true" outlineLevel="0" collapsed="false">
      <c r="B46" s="31" t="s">
        <v>114</v>
      </c>
      <c r="C46" s="35" t="n">
        <f aca="false">'6.3.3b DCF'!$D$24</f>
        <v>16438556.9944855</v>
      </c>
      <c r="D46" s="35" t="n">
        <f aca="false">'6.3.3b DCF'!$E$24</f>
        <v>-3414873.69596192</v>
      </c>
      <c r="E46" s="33" t="s">
        <v>112</v>
      </c>
      <c r="F46" s="34" t="s">
        <v>115</v>
      </c>
    </row>
    <row r="47" customFormat="false" ht="15" hidden="false" customHeight="true" outlineLevel="0" collapsed="false">
      <c r="B47" s="31" t="s">
        <v>55</v>
      </c>
      <c r="C47" s="35" t="n">
        <f aca="false">'6.3.3a NOI-AV'!$C$15</f>
        <v>73268968.5</v>
      </c>
      <c r="D47" s="35" t="n">
        <f aca="false">'6.3.3a NOI-AV'!$E$15</f>
        <v>47906633.25</v>
      </c>
      <c r="E47" s="33" t="s">
        <v>116</v>
      </c>
      <c r="F47" s="34" t="s">
        <v>117</v>
      </c>
    </row>
    <row r="48" customFormat="false" ht="15" hidden="false" customHeight="true" outlineLevel="0" collapsed="false">
      <c r="B48" s="31" t="s">
        <v>118</v>
      </c>
      <c r="C48" s="35" t="n">
        <f aca="false">'6.3 Inputs'!$C$58</f>
        <v>4184100.41841004</v>
      </c>
      <c r="D48" s="35" t="s">
        <v>98</v>
      </c>
      <c r="E48" s="33" t="s">
        <v>119</v>
      </c>
      <c r="F48" s="34" t="s">
        <v>120</v>
      </c>
    </row>
    <row r="49" customFormat="false" ht="15" hidden="false" customHeight="true" outlineLevel="0" collapsed="false">
      <c r="B49" s="31" t="s">
        <v>121</v>
      </c>
      <c r="C49" s="35" t="n">
        <f aca="false">'6.3 Inputs'!$C$54</f>
        <v>2730000</v>
      </c>
      <c r="D49" s="35" t="s">
        <v>98</v>
      </c>
      <c r="E49" s="33" t="s">
        <v>122</v>
      </c>
      <c r="F49" s="34" t="s">
        <v>123</v>
      </c>
    </row>
    <row r="50" customFormat="false" ht="15" hidden="false" customHeight="false" outlineLevel="0" collapsed="false"/>
    <row r="51" customFormat="false" ht="31.5" hidden="false" customHeight="true" outlineLevel="0" collapsed="false">
      <c r="B51" s="36" t="s">
        <v>124</v>
      </c>
      <c r="C51" s="36"/>
      <c r="D51" s="36"/>
      <c r="E51" s="36"/>
      <c r="F51" s="36"/>
      <c r="G51" s="36"/>
    </row>
    <row r="53" customFormat="false" ht="15" hidden="false" customHeight="true" outlineLevel="0" collapsed="false">
      <c r="B53" s="37" t="s">
        <v>125</v>
      </c>
      <c r="C53" s="37"/>
      <c r="D53" s="37"/>
      <c r="E53" s="37"/>
      <c r="F53" s="37"/>
      <c r="G53" s="37"/>
    </row>
  </sheetData>
  <mergeCells count="31">
    <mergeCell ref="B3:G3"/>
    <mergeCell ref="B5:G5"/>
    <mergeCell ref="B6:C6"/>
    <mergeCell ref="D6:E6"/>
    <mergeCell ref="F6:G6"/>
    <mergeCell ref="B9:C9"/>
    <mergeCell ref="D9:E9"/>
    <mergeCell ref="F9:G9"/>
    <mergeCell ref="B11:G11"/>
    <mergeCell ref="B12:C12"/>
    <mergeCell ref="D12:E12"/>
    <mergeCell ref="F12:G12"/>
    <mergeCell ref="B15:C15"/>
    <mergeCell ref="D15:E15"/>
    <mergeCell ref="F15:G15"/>
    <mergeCell ref="B17:G17"/>
    <mergeCell ref="C18:D18"/>
    <mergeCell ref="C19:D19"/>
    <mergeCell ref="C20:D20"/>
    <mergeCell ref="C21:D21"/>
    <mergeCell ref="B23:G23"/>
    <mergeCell ref="B24:G24"/>
    <mergeCell ref="B26:G26"/>
    <mergeCell ref="C27:G27"/>
    <mergeCell ref="C28:G28"/>
    <mergeCell ref="C29:G29"/>
    <mergeCell ref="C30:G30"/>
    <mergeCell ref="C31:G31"/>
    <mergeCell ref="B35:G35"/>
    <mergeCell ref="B51:G51"/>
    <mergeCell ref="B53:G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0C0"/>
    <pageSetUpPr fitToPage="false"/>
  </sheetPr>
  <dimension ref="B2:H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42"/>
    <col collapsed="false" customWidth="true" hidden="false" outlineLevel="0" max="8" min="3" style="1" width="16"/>
  </cols>
  <sheetData>
    <row r="2" customFormat="false" ht="22.5" hidden="false" customHeight="true" outlineLevel="0" collapsed="false">
      <c r="B2" s="12" t="s">
        <v>126</v>
      </c>
    </row>
    <row r="3" customFormat="false" ht="15" hidden="false" customHeight="true" outlineLevel="0" collapsed="false">
      <c r="B3" s="13" t="s">
        <v>127</v>
      </c>
      <c r="C3" s="13"/>
      <c r="D3" s="13"/>
      <c r="E3" s="13"/>
    </row>
    <row r="5" customFormat="false" ht="30" hidden="false" customHeight="true" outlineLevel="0" collapsed="false">
      <c r="B5" s="21" t="s">
        <v>128</v>
      </c>
      <c r="C5" s="21" t="s">
        <v>129</v>
      </c>
      <c r="D5" s="21" t="s">
        <v>130</v>
      </c>
      <c r="E5" s="21" t="s">
        <v>131</v>
      </c>
    </row>
    <row r="6" customFormat="false" ht="15" hidden="false" customHeight="true" outlineLevel="0" collapsed="false">
      <c r="B6" s="38" t="s">
        <v>132</v>
      </c>
      <c r="C6" s="38"/>
      <c r="D6" s="38"/>
      <c r="E6" s="38"/>
    </row>
    <row r="7" customFormat="false" ht="30" hidden="false" customHeight="true" outlineLevel="0" collapsed="false">
      <c r="B7" s="4" t="s">
        <v>133</v>
      </c>
      <c r="C7" s="39" t="n">
        <v>35</v>
      </c>
      <c r="D7" s="40" t="s">
        <v>134</v>
      </c>
      <c r="E7" s="41" t="s">
        <v>135</v>
      </c>
    </row>
    <row r="8" customFormat="false" ht="30" hidden="false" customHeight="true" outlineLevel="0" collapsed="false">
      <c r="B8" s="4" t="s">
        <v>136</v>
      </c>
      <c r="C8" s="39" t="n">
        <v>15000</v>
      </c>
      <c r="D8" s="40" t="s">
        <v>137</v>
      </c>
      <c r="E8" s="41" t="s">
        <v>138</v>
      </c>
    </row>
    <row r="9" customFormat="false" ht="30" hidden="false" customHeight="true" outlineLevel="0" collapsed="false">
      <c r="B9" s="4" t="s">
        <v>139</v>
      </c>
      <c r="C9" s="39" t="n">
        <v>192</v>
      </c>
      <c r="D9" s="40" t="s">
        <v>140</v>
      </c>
      <c r="E9" s="41" t="s">
        <v>135</v>
      </c>
    </row>
    <row r="10" customFormat="false" ht="15" hidden="false" customHeight="true" outlineLevel="0" collapsed="false">
      <c r="B10" s="38" t="s">
        <v>141</v>
      </c>
      <c r="C10" s="38"/>
      <c r="D10" s="38"/>
      <c r="E10" s="38"/>
    </row>
    <row r="11" customFormat="false" ht="30" hidden="false" customHeight="true" outlineLevel="0" collapsed="false">
      <c r="B11" s="4" t="s">
        <v>142</v>
      </c>
      <c r="C11" s="42" t="n">
        <v>2150</v>
      </c>
      <c r="D11" s="40" t="s">
        <v>143</v>
      </c>
      <c r="E11" s="41" t="s">
        <v>135</v>
      </c>
    </row>
    <row r="12" customFormat="false" ht="30" hidden="false" customHeight="true" outlineLevel="0" collapsed="false">
      <c r="B12" s="4" t="s">
        <v>144</v>
      </c>
      <c r="C12" s="43" t="n">
        <v>0.65</v>
      </c>
      <c r="D12" s="40" t="s">
        <v>145</v>
      </c>
      <c r="E12" s="41" t="s">
        <v>135</v>
      </c>
    </row>
    <row r="13" customFormat="false" ht="30" hidden="false" customHeight="true" outlineLevel="0" collapsed="false">
      <c r="B13" s="4" t="s">
        <v>146</v>
      </c>
      <c r="C13" s="43" t="n">
        <v>0.35</v>
      </c>
      <c r="D13" s="40" t="s">
        <v>147</v>
      </c>
      <c r="E13" s="41" t="s">
        <v>135</v>
      </c>
    </row>
    <row r="14" customFormat="false" ht="30" hidden="false" customHeight="true" outlineLevel="0" collapsed="false">
      <c r="B14" s="4" t="s">
        <v>148</v>
      </c>
      <c r="C14" s="43" t="n">
        <v>0.65</v>
      </c>
      <c r="D14" s="40" t="s">
        <v>149</v>
      </c>
      <c r="E14" s="41" t="s">
        <v>150</v>
      </c>
    </row>
    <row r="15" customFormat="false" ht="30" hidden="false" customHeight="true" outlineLevel="0" collapsed="false">
      <c r="B15" s="4" t="s">
        <v>151</v>
      </c>
      <c r="C15" s="39" t="n">
        <v>365</v>
      </c>
      <c r="D15" s="40" t="s">
        <v>152</v>
      </c>
      <c r="E15" s="41" t="s">
        <v>138</v>
      </c>
    </row>
    <row r="16" customFormat="false" ht="15" hidden="false" customHeight="true" outlineLevel="0" collapsed="false">
      <c r="B16" s="38" t="s">
        <v>153</v>
      </c>
      <c r="C16" s="38"/>
      <c r="D16" s="38"/>
      <c r="E16" s="38"/>
    </row>
    <row r="17" customFormat="false" ht="30" hidden="false" customHeight="true" outlineLevel="0" collapsed="false">
      <c r="B17" s="4" t="s">
        <v>154</v>
      </c>
      <c r="C17" s="43" t="n">
        <v>-0.15</v>
      </c>
      <c r="D17" s="40" t="s">
        <v>155</v>
      </c>
      <c r="E17" s="41" t="s">
        <v>156</v>
      </c>
    </row>
    <row r="18" customFormat="false" ht="30" hidden="false" customHeight="true" outlineLevel="0" collapsed="false">
      <c r="B18" s="4" t="s">
        <v>157</v>
      </c>
      <c r="C18" s="43" t="n">
        <v>0.55</v>
      </c>
      <c r="D18" s="40" t="s">
        <v>158</v>
      </c>
      <c r="E18" s="41" t="s">
        <v>156</v>
      </c>
    </row>
    <row r="19" customFormat="false" ht="15" hidden="false" customHeight="true" outlineLevel="0" collapsed="false">
      <c r="B19" s="38" t="s">
        <v>159</v>
      </c>
      <c r="C19" s="38"/>
      <c r="D19" s="38"/>
      <c r="E19" s="38"/>
    </row>
    <row r="20" customFormat="false" ht="30" hidden="false" customHeight="true" outlineLevel="0" collapsed="false">
      <c r="B20" s="4" t="s">
        <v>160</v>
      </c>
      <c r="C20" s="43" t="n">
        <v>0.72</v>
      </c>
      <c r="D20" s="40" t="s">
        <v>161</v>
      </c>
      <c r="E20" s="41" t="s">
        <v>135</v>
      </c>
    </row>
    <row r="21" customFormat="false" ht="30" hidden="false" customHeight="true" outlineLevel="0" collapsed="false">
      <c r="B21" s="4" t="s">
        <v>162</v>
      </c>
      <c r="C21" s="43" t="n">
        <v>0.03</v>
      </c>
      <c r="D21" s="40" t="s">
        <v>163</v>
      </c>
      <c r="E21" s="41" t="s">
        <v>135</v>
      </c>
    </row>
    <row r="22" customFormat="false" ht="30" hidden="false" customHeight="true" outlineLevel="0" collapsed="false">
      <c r="B22" s="4" t="s">
        <v>164</v>
      </c>
      <c r="C22" s="43" t="n">
        <v>0.08</v>
      </c>
      <c r="D22" s="40" t="s">
        <v>165</v>
      </c>
      <c r="E22" s="41" t="s">
        <v>135</v>
      </c>
    </row>
    <row r="23" customFormat="false" ht="30" hidden="false" customHeight="true" outlineLevel="0" collapsed="false">
      <c r="B23" s="4" t="s">
        <v>166</v>
      </c>
      <c r="C23" s="43" t="n">
        <v>0.03</v>
      </c>
      <c r="D23" s="40" t="s">
        <v>167</v>
      </c>
      <c r="E23" s="41" t="s">
        <v>135</v>
      </c>
    </row>
    <row r="24" customFormat="false" ht="15" hidden="false" customHeight="true" outlineLevel="0" collapsed="false">
      <c r="B24" s="38" t="s">
        <v>168</v>
      </c>
      <c r="C24" s="38"/>
      <c r="D24" s="38"/>
      <c r="E24" s="38"/>
    </row>
    <row r="25" customFormat="false" ht="30" hidden="false" customHeight="true" outlineLevel="0" collapsed="false">
      <c r="B25" s="4" t="s">
        <v>169</v>
      </c>
      <c r="C25" s="42" t="n">
        <v>1200000</v>
      </c>
      <c r="D25" s="40" t="s">
        <v>170</v>
      </c>
      <c r="E25" s="41" t="s">
        <v>135</v>
      </c>
    </row>
    <row r="26" customFormat="false" ht="30" hidden="false" customHeight="true" outlineLevel="0" collapsed="false">
      <c r="B26" s="4" t="s">
        <v>171</v>
      </c>
      <c r="C26" s="43" t="n">
        <v>0.065</v>
      </c>
      <c r="D26" s="40" t="s">
        <v>172</v>
      </c>
      <c r="E26" s="41" t="s">
        <v>135</v>
      </c>
    </row>
    <row r="27" customFormat="false" ht="15" hidden="false" customHeight="true" outlineLevel="0" collapsed="false">
      <c r="B27" s="38" t="s">
        <v>173</v>
      </c>
      <c r="C27" s="38"/>
      <c r="D27" s="38"/>
      <c r="E27" s="38"/>
    </row>
    <row r="28" customFormat="false" ht="30" hidden="false" customHeight="true" outlineLevel="0" collapsed="false">
      <c r="B28" s="4" t="s">
        <v>174</v>
      </c>
      <c r="C28" s="43" t="n">
        <v>0.065</v>
      </c>
      <c r="D28" s="40" t="s">
        <v>175</v>
      </c>
      <c r="E28" s="41" t="s">
        <v>135</v>
      </c>
    </row>
    <row r="29" customFormat="false" ht="30" hidden="false" customHeight="true" outlineLevel="0" collapsed="false">
      <c r="B29" s="4" t="s">
        <v>176</v>
      </c>
      <c r="C29" s="43" t="n">
        <v>0.065</v>
      </c>
      <c r="D29" s="40" t="s">
        <v>177</v>
      </c>
      <c r="E29" s="41" t="s">
        <v>135</v>
      </c>
    </row>
    <row r="30" customFormat="false" ht="30" hidden="false" customHeight="true" outlineLevel="0" collapsed="false">
      <c r="B30" s="4" t="s">
        <v>178</v>
      </c>
      <c r="C30" s="43" t="n">
        <v>0.03</v>
      </c>
      <c r="D30" s="40" t="s">
        <v>179</v>
      </c>
      <c r="E30" s="41" t="s">
        <v>156</v>
      </c>
    </row>
    <row r="31" customFormat="false" ht="30" hidden="false" customHeight="true" outlineLevel="0" collapsed="false">
      <c r="B31" s="4" t="s">
        <v>180</v>
      </c>
      <c r="C31" s="39" t="n">
        <v>12</v>
      </c>
      <c r="D31" s="40" t="s">
        <v>181</v>
      </c>
      <c r="E31" s="41" t="s">
        <v>156</v>
      </c>
    </row>
    <row r="32" customFormat="false" ht="30" hidden="false" customHeight="true" outlineLevel="0" collapsed="false">
      <c r="B32" s="4" t="s">
        <v>182</v>
      </c>
      <c r="C32" s="39" t="n">
        <v>3</v>
      </c>
      <c r="D32" s="40" t="s">
        <v>183</v>
      </c>
      <c r="E32" s="41" t="s">
        <v>156</v>
      </c>
    </row>
    <row r="33" customFormat="false" ht="30" hidden="false" customHeight="true" outlineLevel="0" collapsed="false">
      <c r="B33" s="4" t="s">
        <v>184</v>
      </c>
      <c r="C33" s="43" t="n">
        <v>0.08</v>
      </c>
      <c r="D33" s="40" t="s">
        <v>185</v>
      </c>
      <c r="E33" s="41" t="s">
        <v>135</v>
      </c>
    </row>
    <row r="34" customFormat="false" ht="30" hidden="false" customHeight="true" outlineLevel="0" collapsed="false">
      <c r="B34" s="4" t="s">
        <v>186</v>
      </c>
      <c r="C34" s="43" t="n">
        <v>0.12</v>
      </c>
      <c r="D34" s="40" t="s">
        <v>187</v>
      </c>
      <c r="E34" s="41" t="s">
        <v>135</v>
      </c>
    </row>
    <row r="35" customFormat="false" ht="30" hidden="false" customHeight="true" outlineLevel="0" collapsed="false">
      <c r="B35" s="4" t="s">
        <v>188</v>
      </c>
      <c r="C35" s="43" t="n">
        <v>0.07</v>
      </c>
      <c r="D35" s="40" t="s">
        <v>189</v>
      </c>
      <c r="E35" s="41" t="s">
        <v>135</v>
      </c>
    </row>
    <row r="36" customFormat="false" ht="30" hidden="false" customHeight="true" outlineLevel="0" collapsed="false">
      <c r="B36" s="4" t="s">
        <v>190</v>
      </c>
      <c r="C36" s="43" t="n">
        <v>0.09</v>
      </c>
      <c r="D36" s="40" t="s">
        <v>191</v>
      </c>
      <c r="E36" s="41" t="s">
        <v>135</v>
      </c>
    </row>
    <row r="37" customFormat="false" ht="30" hidden="false" customHeight="true" outlineLevel="0" collapsed="false">
      <c r="B37" s="4" t="s">
        <v>192</v>
      </c>
      <c r="C37" s="43" t="n">
        <v>0.11</v>
      </c>
      <c r="D37" s="40" t="s">
        <v>193</v>
      </c>
      <c r="E37" s="41" t="s">
        <v>135</v>
      </c>
    </row>
    <row r="38" customFormat="false" ht="15" hidden="false" customHeight="true" outlineLevel="0" collapsed="false">
      <c r="B38" s="38" t="s">
        <v>194</v>
      </c>
      <c r="C38" s="38"/>
      <c r="D38" s="38"/>
      <c r="E38" s="38"/>
    </row>
    <row r="39" customFormat="false" ht="30" hidden="false" customHeight="true" outlineLevel="0" collapsed="false">
      <c r="B39" s="4" t="s">
        <v>195</v>
      </c>
      <c r="C39" s="43" t="n">
        <v>0.25</v>
      </c>
      <c r="D39" s="40" t="s">
        <v>196</v>
      </c>
      <c r="E39" s="41" t="s">
        <v>138</v>
      </c>
    </row>
    <row r="40" customFormat="false" ht="30" hidden="false" customHeight="true" outlineLevel="0" collapsed="false">
      <c r="B40" s="4" t="s">
        <v>197</v>
      </c>
      <c r="C40" s="39" t="n">
        <v>500000000</v>
      </c>
      <c r="D40" s="40" t="s">
        <v>198</v>
      </c>
      <c r="E40" s="41" t="s">
        <v>138</v>
      </c>
    </row>
    <row r="41" customFormat="false" ht="30" hidden="false" customHeight="true" outlineLevel="0" collapsed="false">
      <c r="B41" s="4" t="s">
        <v>199</v>
      </c>
      <c r="C41" s="44" t="n">
        <v>119.5</v>
      </c>
      <c r="D41" s="40" t="s">
        <v>200</v>
      </c>
      <c r="E41" s="41" t="s">
        <v>156</v>
      </c>
    </row>
    <row r="42" customFormat="false" ht="15" hidden="false" customHeight="true" outlineLevel="0" collapsed="false">
      <c r="B42" s="38" t="s">
        <v>201</v>
      </c>
      <c r="C42" s="38"/>
      <c r="D42" s="38"/>
      <c r="E42" s="38"/>
    </row>
    <row r="43" customFormat="false" ht="30" hidden="false" customHeight="true" outlineLevel="0" collapsed="false">
      <c r="B43" s="4" t="s">
        <v>202</v>
      </c>
      <c r="C43" s="43" t="n">
        <v>0.5</v>
      </c>
      <c r="D43" s="40" t="s">
        <v>203</v>
      </c>
      <c r="E43" s="41" t="s">
        <v>135</v>
      </c>
    </row>
    <row r="44" customFormat="false" ht="30" hidden="false" customHeight="true" outlineLevel="0" collapsed="false">
      <c r="B44" s="4" t="s">
        <v>204</v>
      </c>
      <c r="C44" s="43" t="n">
        <v>0.72</v>
      </c>
      <c r="D44" s="40" t="s">
        <v>205</v>
      </c>
      <c r="E44" s="41" t="s">
        <v>135</v>
      </c>
    </row>
    <row r="45" customFormat="false" ht="30" hidden="false" customHeight="true" outlineLevel="0" collapsed="false">
      <c r="B45" s="4" t="s">
        <v>206</v>
      </c>
      <c r="C45" s="43" t="n">
        <v>0.9</v>
      </c>
      <c r="D45" s="40" t="s">
        <v>207</v>
      </c>
      <c r="E45" s="41" t="s">
        <v>135</v>
      </c>
    </row>
    <row r="46" customFormat="false" ht="30" hidden="false" customHeight="true" outlineLevel="0" collapsed="false">
      <c r="B46" s="4" t="s">
        <v>208</v>
      </c>
      <c r="C46" s="43" t="n">
        <v>0.3</v>
      </c>
      <c r="D46" s="40" t="s">
        <v>209</v>
      </c>
      <c r="E46" s="41" t="s">
        <v>156</v>
      </c>
    </row>
    <row r="47" customFormat="false" ht="30" hidden="false" customHeight="true" outlineLevel="0" collapsed="false">
      <c r="B47" s="4" t="s">
        <v>210</v>
      </c>
      <c r="C47" s="43" t="n">
        <v>0.4</v>
      </c>
      <c r="D47" s="40" t="s">
        <v>211</v>
      </c>
      <c r="E47" s="41" t="s">
        <v>156</v>
      </c>
    </row>
    <row r="48" customFormat="false" ht="30" hidden="false" customHeight="true" outlineLevel="0" collapsed="false">
      <c r="B48" s="4" t="s">
        <v>212</v>
      </c>
      <c r="C48" s="43" t="n">
        <v>0.3</v>
      </c>
      <c r="D48" s="40" t="s">
        <v>213</v>
      </c>
      <c r="E48" s="41" t="s">
        <v>156</v>
      </c>
    </row>
    <row r="50" customFormat="false" ht="15" hidden="false" customHeight="true" outlineLevel="0" collapsed="false">
      <c r="B50" s="38" t="s">
        <v>214</v>
      </c>
      <c r="C50" s="38"/>
      <c r="D50" s="38"/>
      <c r="E50" s="38"/>
    </row>
    <row r="51" customFormat="false" ht="30" hidden="false" customHeight="true" outlineLevel="0" collapsed="false">
      <c r="B51" s="4" t="s">
        <v>215</v>
      </c>
      <c r="C51" s="45" t="n">
        <f aca="false">'6.3 Inputs'!$C$7*'6.3 Inputs'!$C$9</f>
        <v>6720</v>
      </c>
      <c r="D51" s="40" t="s">
        <v>216</v>
      </c>
      <c r="E51" s="41" t="s">
        <v>217</v>
      </c>
    </row>
    <row r="52" customFormat="false" ht="30" hidden="false" customHeight="true" outlineLevel="0" collapsed="false">
      <c r="B52" s="4" t="s">
        <v>218</v>
      </c>
      <c r="C52" s="46" t="n">
        <f aca="false">('6.3 Inputs'!$C$7*'6.3 Inputs'!$C$9)/'6.3 Inputs'!$C$8</f>
        <v>0.448</v>
      </c>
      <c r="D52" s="40" t="s">
        <v>219</v>
      </c>
      <c r="E52" s="41" t="s">
        <v>217</v>
      </c>
    </row>
    <row r="53" customFormat="false" ht="30" hidden="false" customHeight="true" outlineLevel="0" collapsed="false">
      <c r="B53" s="4" t="s">
        <v>220</v>
      </c>
      <c r="C53" s="47" t="n">
        <f aca="false">'6.3 Inputs'!$C$7*'6.3 Inputs'!$C$25</f>
        <v>42000000</v>
      </c>
      <c r="D53" s="40" t="s">
        <v>221</v>
      </c>
      <c r="E53" s="41" t="s">
        <v>217</v>
      </c>
    </row>
    <row r="54" customFormat="false" ht="30" hidden="false" customHeight="true" outlineLevel="0" collapsed="false">
      <c r="B54" s="4" t="s">
        <v>222</v>
      </c>
      <c r="C54" s="47" t="n">
        <f aca="false">'6.3 Inputs'!$C$7*'6.3 Inputs'!$C$25*'6.3 Inputs'!$C$26</f>
        <v>2730000</v>
      </c>
      <c r="D54" s="40" t="s">
        <v>223</v>
      </c>
      <c r="E54" s="41" t="s">
        <v>217</v>
      </c>
    </row>
    <row r="55" customFormat="false" ht="30" hidden="false" customHeight="true" outlineLevel="0" collapsed="false">
      <c r="B55" s="4" t="s">
        <v>224</v>
      </c>
      <c r="C55" s="47" t="n">
        <f aca="false">'6.3 Inputs'!$C$11*(1+'6.3 Inputs'!$C$17)</f>
        <v>1827.5</v>
      </c>
      <c r="D55" s="40" t="s">
        <v>225</v>
      </c>
      <c r="E55" s="41" t="s">
        <v>217</v>
      </c>
    </row>
    <row r="56" customFormat="false" ht="30" hidden="false" customHeight="true" outlineLevel="0" collapsed="false">
      <c r="B56" s="4" t="s">
        <v>226</v>
      </c>
      <c r="C56" s="47" t="n">
        <f aca="false">'6.3 Inputs'!$C$40/'6.3 Inputs'!$C$41</f>
        <v>4184100.41841004</v>
      </c>
      <c r="D56" s="40" t="s">
        <v>227</v>
      </c>
      <c r="E56" s="41" t="s">
        <v>217</v>
      </c>
    </row>
    <row r="57" customFormat="false" ht="30" hidden="false" customHeight="true" outlineLevel="0" collapsed="false">
      <c r="B57" s="4" t="s">
        <v>228</v>
      </c>
      <c r="C57" s="47" t="n">
        <f aca="false">'6.3 Inputs'!$C$39*'6.3 Inputs'!$C$7*'6.3 Inputs'!$C$25</f>
        <v>10500000</v>
      </c>
      <c r="D57" s="40" t="s">
        <v>229</v>
      </c>
      <c r="E57" s="41" t="s">
        <v>217</v>
      </c>
    </row>
    <row r="58" customFormat="false" ht="30" hidden="false" customHeight="true" outlineLevel="0" collapsed="false">
      <c r="B58" s="4" t="s">
        <v>230</v>
      </c>
      <c r="C58" s="47" t="n">
        <f aca="false">MIN('6.3 Inputs'!$C$57,'6.3 Inputs'!$C$56)</f>
        <v>4184100.41841004</v>
      </c>
      <c r="D58" s="40" t="s">
        <v>231</v>
      </c>
      <c r="E58" s="41" t="s">
        <v>217</v>
      </c>
    </row>
    <row r="61" customFormat="false" ht="23.25" hidden="false" customHeight="true" outlineLevel="0" collapsed="false">
      <c r="B61" s="48"/>
      <c r="C61" s="48"/>
      <c r="D61" s="48"/>
      <c r="E61" s="48"/>
    </row>
    <row r="63" customFormat="false" ht="15" hidden="false" customHeight="true" outlineLevel="0" collapsed="false">
      <c r="B63" s="29" t="s">
        <v>232</v>
      </c>
      <c r="C63" s="29"/>
      <c r="D63" s="29"/>
      <c r="E63" s="29"/>
      <c r="F63" s="29"/>
      <c r="G63" s="29"/>
      <c r="H63" s="29"/>
    </row>
    <row r="64" customFormat="false" ht="36" hidden="false" customHeight="true" outlineLevel="0" collapsed="false">
      <c r="B64" s="36" t="s">
        <v>233</v>
      </c>
      <c r="C64" s="36"/>
      <c r="D64" s="36"/>
      <c r="E64" s="36"/>
      <c r="F64" s="36"/>
      <c r="G64" s="36"/>
      <c r="H64" s="36"/>
    </row>
    <row r="65" customFormat="false" ht="15" hidden="false" customHeight="true" outlineLevel="0" collapsed="false">
      <c r="B65" s="30" t="s">
        <v>234</v>
      </c>
      <c r="C65" s="30" t="s">
        <v>235</v>
      </c>
      <c r="D65" s="30" t="s">
        <v>236</v>
      </c>
      <c r="E65" s="30" t="s">
        <v>92</v>
      </c>
      <c r="F65" s="30" t="s">
        <v>237</v>
      </c>
      <c r="G65" s="30" t="s">
        <v>238</v>
      </c>
      <c r="H65" s="30" t="s">
        <v>239</v>
      </c>
    </row>
    <row r="66" customFormat="false" ht="15" hidden="false" customHeight="true" outlineLevel="0" collapsed="false">
      <c r="B66" s="49" t="s">
        <v>240</v>
      </c>
      <c r="C66" s="50" t="s">
        <v>241</v>
      </c>
      <c r="D66" s="50" t="s">
        <v>241</v>
      </c>
      <c r="E66" s="50" t="s">
        <v>241</v>
      </c>
      <c r="F66" s="51" t="s">
        <v>242</v>
      </c>
      <c r="G66" s="51" t="s">
        <v>242</v>
      </c>
      <c r="H66" s="51" t="s">
        <v>242</v>
      </c>
    </row>
    <row r="67" customFormat="false" ht="15" hidden="false" customHeight="true" outlineLevel="0" collapsed="false">
      <c r="B67" s="49" t="s">
        <v>243</v>
      </c>
      <c r="C67" s="52" t="s">
        <v>91</v>
      </c>
      <c r="D67" s="52" t="s">
        <v>236</v>
      </c>
      <c r="E67" s="52" t="s">
        <v>92</v>
      </c>
      <c r="F67" s="51" t="s">
        <v>237</v>
      </c>
      <c r="G67" s="51" t="s">
        <v>238</v>
      </c>
      <c r="H67" s="51" t="s">
        <v>239</v>
      </c>
    </row>
    <row r="68" customFormat="false" ht="15" hidden="false" customHeight="true" outlineLevel="0" collapsed="false">
      <c r="B68" s="49" t="s">
        <v>244</v>
      </c>
      <c r="C68" s="53" t="n">
        <v>0</v>
      </c>
      <c r="D68" s="54" t="n">
        <v>0.15</v>
      </c>
      <c r="E68" s="54" t="n">
        <v>-0.15</v>
      </c>
      <c r="F68" s="54" t="n">
        <v>0</v>
      </c>
      <c r="G68" s="54" t="n">
        <v>0</v>
      </c>
      <c r="H68" s="54" t="n">
        <v>0</v>
      </c>
    </row>
    <row r="69" customFormat="false" ht="15" hidden="false" customHeight="true" outlineLevel="0" collapsed="false">
      <c r="B69" s="49" t="s">
        <v>245</v>
      </c>
      <c r="C69" s="55" t="n">
        <f aca="false">'6.3 Inputs'!$C$12</f>
        <v>0.65</v>
      </c>
      <c r="D69" s="56" t="n">
        <v>0.72</v>
      </c>
      <c r="E69" s="56" t="n">
        <v>0.5</v>
      </c>
      <c r="F69" s="56" t="n">
        <v>0.65</v>
      </c>
      <c r="G69" s="56" t="n">
        <v>0.65</v>
      </c>
      <c r="H69" s="56" t="n">
        <v>0.65</v>
      </c>
    </row>
    <row r="70" customFormat="false" ht="15" hidden="false" customHeight="true" outlineLevel="0" collapsed="false">
      <c r="B70" s="49" t="s">
        <v>246</v>
      </c>
      <c r="C70" s="55" t="n">
        <f aca="false">'6.3 Inputs'!$C$13</f>
        <v>0.35</v>
      </c>
      <c r="D70" s="56" t="n">
        <f aca="false">'6.3 Inputs'!$C$13</f>
        <v>0.35</v>
      </c>
      <c r="E70" s="56" t="n">
        <f aca="false">'6.3 Inputs'!$C$13</f>
        <v>0.35</v>
      </c>
      <c r="F70" s="56" t="n">
        <f aca="false">'6.3 Inputs'!$C$13</f>
        <v>0.35</v>
      </c>
      <c r="G70" s="56" t="n">
        <f aca="false">'6.3 Inputs'!$C$13</f>
        <v>0.35</v>
      </c>
      <c r="H70" s="56" t="n">
        <f aca="false">'6.3 Inputs'!$C$13</f>
        <v>0.35</v>
      </c>
    </row>
    <row r="71" customFormat="false" ht="15" hidden="false" customHeight="true" outlineLevel="0" collapsed="false">
      <c r="B71" s="49" t="s">
        <v>247</v>
      </c>
      <c r="C71" s="57" t="n">
        <f aca="false">'6.3 Inputs'!$C$11*(1+C68)</f>
        <v>2150</v>
      </c>
      <c r="D71" s="57" t="n">
        <f aca="false">'6.3 Inputs'!$C$11*(1+D68)</f>
        <v>2472.5</v>
      </c>
      <c r="E71" s="57" t="n">
        <f aca="false">'6.3 Inputs'!$C$11*(1+E68)</f>
        <v>1827.5</v>
      </c>
      <c r="F71" s="57" t="n">
        <f aca="false">'6.3 Inputs'!$C$11*(1+F68)</f>
        <v>2150</v>
      </c>
      <c r="G71" s="57" t="n">
        <f aca="false">'6.3 Inputs'!$C$11*(1+G68)</f>
        <v>2150</v>
      </c>
      <c r="H71" s="57" t="n">
        <f aca="false">'6.3 Inputs'!$C$11*(1+H68)</f>
        <v>2150</v>
      </c>
    </row>
    <row r="72" customFormat="false" ht="15" hidden="false" customHeight="true" outlineLevel="0" collapsed="false">
      <c r="B72" s="49" t="s">
        <v>248</v>
      </c>
      <c r="C72" s="57" t="n">
        <f aca="false">'6.3 Inputs'!$C$7*'6.3 Inputs'!$C$15*C71*C69*(1+C70)</f>
        <v>24101634.375</v>
      </c>
      <c r="D72" s="57" t="n">
        <f aca="false">'6.3 Inputs'!$C$7*'6.3 Inputs'!$C$15*D71*D69*(1+D70)</f>
        <v>30701774.25</v>
      </c>
      <c r="E72" s="57" t="n">
        <f aca="false">'6.3 Inputs'!$C$7*'6.3 Inputs'!$C$15*E71*E69*(1+E70)</f>
        <v>15758760.9375</v>
      </c>
      <c r="F72" s="57" t="n">
        <f aca="false">'6.3 Inputs'!$C$7*'6.3 Inputs'!$C$15*F71*F69*(1+F70)</f>
        <v>24101634.375</v>
      </c>
      <c r="G72" s="57" t="n">
        <f aca="false">'6.3 Inputs'!$C$7*'6.3 Inputs'!$C$15*G71*G69*(1+G70)</f>
        <v>24101634.375</v>
      </c>
      <c r="H72" s="57" t="n">
        <f aca="false">'6.3 Inputs'!$C$7*'6.3 Inputs'!$C$15*H71*H69*(1+H70)</f>
        <v>24101634.375</v>
      </c>
    </row>
    <row r="74" customFormat="false" ht="15" hidden="false" customHeight="true" outlineLevel="0" collapsed="false">
      <c r="B74" s="37" t="s">
        <v>249</v>
      </c>
      <c r="C74" s="37"/>
      <c r="D74" s="37"/>
      <c r="E74" s="37"/>
      <c r="F74" s="37"/>
      <c r="G74" s="37"/>
      <c r="H74" s="37"/>
    </row>
  </sheetData>
  <mergeCells count="14">
    <mergeCell ref="B3:E3"/>
    <mergeCell ref="B6:E6"/>
    <mergeCell ref="B10:E10"/>
    <mergeCell ref="B16:E16"/>
    <mergeCell ref="B19:E19"/>
    <mergeCell ref="B24:E24"/>
    <mergeCell ref="B27:E27"/>
    <mergeCell ref="B38:E38"/>
    <mergeCell ref="B42:E42"/>
    <mergeCell ref="B50:E50"/>
    <mergeCell ref="B61:E61"/>
    <mergeCell ref="B63:H63"/>
    <mergeCell ref="B64:H64"/>
    <mergeCell ref="B74:H7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0808D"/>
    <pageSetUpPr fitToPage="false"/>
  </sheetPr>
  <dimension ref="B2:J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2"/>
    <col collapsed="false" customWidth="true" hidden="false" outlineLevel="0" max="2" min="2" style="1" width="30"/>
    <col collapsed="false" customWidth="true" hidden="false" outlineLevel="0" max="8" min="3" style="1" width="14"/>
    <col collapsed="false" customWidth="true" hidden="false" outlineLevel="0" max="9" min="9" style="1" width="9"/>
    <col collapsed="false" customWidth="true" hidden="false" outlineLevel="0" max="10" min="10" style="1" width="60"/>
  </cols>
  <sheetData>
    <row r="2" customFormat="false" ht="44.25" hidden="false" customHeight="true" outlineLevel="0" collapsed="false">
      <c r="B2" s="58" t="s">
        <v>250</v>
      </c>
      <c r="C2" s="58"/>
      <c r="D2" s="58"/>
      <c r="E2" s="58"/>
      <c r="F2" s="58"/>
      <c r="G2" s="58"/>
      <c r="H2" s="58"/>
      <c r="I2" s="58"/>
      <c r="J2" s="58"/>
    </row>
    <row r="3" customFormat="false" ht="30" hidden="false" customHeight="true" outlineLevel="0" collapsed="false">
      <c r="B3" s="36" t="s">
        <v>251</v>
      </c>
      <c r="C3" s="36"/>
      <c r="D3" s="36"/>
      <c r="E3" s="36"/>
      <c r="F3" s="36"/>
    </row>
    <row r="5" customFormat="false" ht="31.5" hidden="false" customHeight="true" outlineLevel="0" collapsed="false">
      <c r="B5" s="59" t="s">
        <v>234</v>
      </c>
      <c r="C5" s="59" t="s">
        <v>57</v>
      </c>
      <c r="D5" s="59" t="s">
        <v>236</v>
      </c>
      <c r="E5" s="59" t="s">
        <v>92</v>
      </c>
      <c r="F5" s="59" t="s">
        <v>237</v>
      </c>
      <c r="G5" s="59" t="s">
        <v>238</v>
      </c>
      <c r="H5" s="59" t="s">
        <v>239</v>
      </c>
      <c r="I5" s="59" t="s">
        <v>252</v>
      </c>
      <c r="J5" s="59" t="s">
        <v>253</v>
      </c>
    </row>
    <row r="6" customFormat="false" ht="15" hidden="false" customHeight="true" outlineLevel="0" collapsed="false">
      <c r="B6" s="60" t="s">
        <v>254</v>
      </c>
      <c r="C6" s="33" t="str">
        <f aca="false">'6.3 Inputs'!C67</f>
        <v>Base Case</v>
      </c>
      <c r="D6" s="33" t="str">
        <f aca="false">'6.3 Inputs'!D67</f>
        <v>Upside</v>
      </c>
      <c r="E6" s="33" t="str">
        <f aca="false">'6.3 Inputs'!E67</f>
        <v>Combined Stress</v>
      </c>
      <c r="F6" s="33" t="str">
        <f aca="false">'6.3 Inputs'!F67</f>
        <v>Custom A</v>
      </c>
      <c r="G6" s="33" t="str">
        <f aca="false">'6.3 Inputs'!G67</f>
        <v>Custom B</v>
      </c>
      <c r="H6" s="33" t="str">
        <f aca="false">'6.3 Inputs'!H67</f>
        <v>Custom C</v>
      </c>
      <c r="I6" s="61"/>
      <c r="J6" s="61"/>
    </row>
    <row r="7" customFormat="false" ht="21.75" hidden="false" customHeight="true" outlineLevel="0" collapsed="false">
      <c r="B7" s="60" t="s">
        <v>255</v>
      </c>
      <c r="C7" s="33" t="str">
        <f aca="false">'6.3 Inputs'!C66</f>
        <v>Y</v>
      </c>
      <c r="D7" s="33" t="str">
        <f aca="false">'6.3 Inputs'!D66</f>
        <v>Y</v>
      </c>
      <c r="E7" s="33" t="str">
        <f aca="false">'6.3 Inputs'!E66</f>
        <v>Y</v>
      </c>
      <c r="F7" s="33" t="str">
        <f aca="false">'6.3 Inputs'!F66</f>
        <v>N</v>
      </c>
      <c r="G7" s="33" t="str">
        <f aca="false">'6.3 Inputs'!G66</f>
        <v>N</v>
      </c>
      <c r="H7" s="33" t="str">
        <f aca="false">'6.3 Inputs'!H66</f>
        <v>N</v>
      </c>
      <c r="I7" s="61"/>
      <c r="J7" s="61"/>
    </row>
    <row r="8" customFormat="false" ht="21.75" hidden="false" customHeight="true" outlineLevel="0" collapsed="false">
      <c r="B8" s="61"/>
      <c r="C8" s="61"/>
      <c r="D8" s="61"/>
      <c r="E8" s="61"/>
      <c r="F8" s="61"/>
      <c r="G8" s="61"/>
      <c r="H8" s="61"/>
      <c r="I8" s="61"/>
      <c r="J8" s="61"/>
    </row>
    <row r="9" customFormat="false" ht="21.75" hidden="false" customHeight="true" outlineLevel="0" collapsed="false">
      <c r="B9" s="49" t="s">
        <v>256</v>
      </c>
      <c r="C9" s="62" t="n">
        <f aca="false">IF('6.3 Inputs'!$C$66="Y",'6.3 Inputs'!$C$7,"—")</f>
        <v>35</v>
      </c>
      <c r="D9" s="62" t="n">
        <f aca="false">IF('6.3 Inputs'!$D$66="Y",'6.3 Inputs'!$C$7,"—")</f>
        <v>35</v>
      </c>
      <c r="E9" s="62" t="n">
        <f aca="false">IF('6.3 Inputs'!$E$66="Y",'6.3 Inputs'!$C$7,"—")</f>
        <v>35</v>
      </c>
      <c r="F9" s="62" t="str">
        <f aca="false">IF('6.3 Inputs'!$F$66="Y",'6.3 Inputs'!$C$7,"—")</f>
        <v>—</v>
      </c>
      <c r="G9" s="62" t="str">
        <f aca="false">IF('6.3 Inputs'!$G$66="Y",'6.3 Inputs'!$C$7,"—")</f>
        <v>—</v>
      </c>
      <c r="H9" s="62" t="str">
        <f aca="false">IF('6.3 Inputs'!$H$66="Y",'6.3 Inputs'!$C$7,"—")</f>
        <v>—</v>
      </c>
      <c r="I9" s="33" t="s">
        <v>257</v>
      </c>
      <c r="J9" s="34" t="s">
        <v>258</v>
      </c>
    </row>
    <row r="10" customFormat="false" ht="21.75" hidden="false" customHeight="true" outlineLevel="0" collapsed="false">
      <c r="B10" s="49" t="s">
        <v>151</v>
      </c>
      <c r="C10" s="62" t="n">
        <f aca="false">IF('6.3 Inputs'!$C$66="Y",'6.3 Inputs'!$C$15,"—")</f>
        <v>365</v>
      </c>
      <c r="D10" s="62" t="n">
        <f aca="false">IF('6.3 Inputs'!$D$66="Y",'6.3 Inputs'!$C$15,"—")</f>
        <v>365</v>
      </c>
      <c r="E10" s="62" t="n">
        <f aca="false">IF('6.3 Inputs'!$E$66="Y",'6.3 Inputs'!$C$15,"—")</f>
        <v>365</v>
      </c>
      <c r="F10" s="62" t="str">
        <f aca="false">IF('6.3 Inputs'!$F$66="Y",'6.3 Inputs'!$C$15,"—")</f>
        <v>—</v>
      </c>
      <c r="G10" s="62" t="str">
        <f aca="false">IF('6.3 Inputs'!$G$66="Y",'6.3 Inputs'!$C$15,"—")</f>
        <v>—</v>
      </c>
      <c r="H10" s="62" t="str">
        <f aca="false">IF('6.3 Inputs'!$H$66="Y",'6.3 Inputs'!$C$15,"—")</f>
        <v>—</v>
      </c>
      <c r="I10" s="33" t="s">
        <v>259</v>
      </c>
      <c r="J10" s="34" t="s">
        <v>260</v>
      </c>
    </row>
    <row r="11" customFormat="false" ht="21.75" hidden="false" customHeight="true" outlineLevel="0" collapsed="false">
      <c r="B11" s="49" t="s">
        <v>261</v>
      </c>
      <c r="C11" s="35" t="n">
        <f aca="false">IF('6.3 Inputs'!$C$66="Y",'6.3 Inputs'!$C$71,"—")</f>
        <v>2150</v>
      </c>
      <c r="D11" s="35" t="n">
        <f aca="false">IF('6.3 Inputs'!$D$66="Y",'6.3 Inputs'!$D$71,"—")</f>
        <v>2472.5</v>
      </c>
      <c r="E11" s="35" t="n">
        <f aca="false">IF('6.3 Inputs'!$E$66="Y",'6.3 Inputs'!$E$71,"—")</f>
        <v>1827.5</v>
      </c>
      <c r="F11" s="35" t="str">
        <f aca="false">IF('6.3 Inputs'!$F$66="Y",'6.3 Inputs'!$F$71,"—")</f>
        <v>—</v>
      </c>
      <c r="G11" s="35" t="str">
        <f aca="false">IF('6.3 Inputs'!$G$66="Y",'6.3 Inputs'!$G$71,"—")</f>
        <v>—</v>
      </c>
      <c r="H11" s="35" t="str">
        <f aca="false">IF('6.3 Inputs'!$H$66="Y",'6.3 Inputs'!$H$71,"—")</f>
        <v>—</v>
      </c>
      <c r="I11" s="33" t="s">
        <v>262</v>
      </c>
      <c r="J11" s="34" t="s">
        <v>263</v>
      </c>
    </row>
    <row r="12" customFormat="false" ht="21.75" hidden="false" customHeight="true" outlineLevel="0" collapsed="false">
      <c r="B12" s="49" t="s">
        <v>264</v>
      </c>
      <c r="C12" s="32" t="n">
        <f aca="false">IF('6.3 Inputs'!$C$66="Y",'6.3 Inputs'!$C$69,"—")</f>
        <v>0.65</v>
      </c>
      <c r="D12" s="32" t="n">
        <f aca="false">IF('6.3 Inputs'!$D$66="Y",'6.3 Inputs'!$D$69,"—")</f>
        <v>0.72</v>
      </c>
      <c r="E12" s="32" t="n">
        <f aca="false">IF('6.3 Inputs'!$E$66="Y",'6.3 Inputs'!$E$69,"—")</f>
        <v>0.5</v>
      </c>
      <c r="F12" s="32" t="str">
        <f aca="false">IF('6.3 Inputs'!$F$66="Y",'6.3 Inputs'!$F$69,"—")</f>
        <v>—</v>
      </c>
      <c r="G12" s="32" t="str">
        <f aca="false">IF('6.3 Inputs'!$G$66="Y",'6.3 Inputs'!$G$69,"—")</f>
        <v>—</v>
      </c>
      <c r="H12" s="32" t="str">
        <f aca="false">IF('6.3 Inputs'!$H$66="Y",'6.3 Inputs'!$H$69,"—")</f>
        <v>—</v>
      </c>
      <c r="I12" s="33" t="s">
        <v>265</v>
      </c>
      <c r="J12" s="34" t="s">
        <v>266</v>
      </c>
    </row>
    <row r="13" customFormat="false" ht="21.75" hidden="false" customHeight="true" outlineLevel="0" collapsed="false">
      <c r="B13" s="49" t="s">
        <v>267</v>
      </c>
      <c r="C13" s="62" t="n">
        <f aca="false">IF('6.3 Inputs'!$C$66="Y",C9*C10,"—")</f>
        <v>12775</v>
      </c>
      <c r="D13" s="62" t="n">
        <f aca="false">IF('6.3 Inputs'!$D$66="Y",D9*D10,"—")</f>
        <v>12775</v>
      </c>
      <c r="E13" s="62" t="n">
        <f aca="false">IF('6.3 Inputs'!$E$66="Y",E9*E10,"—")</f>
        <v>12775</v>
      </c>
      <c r="F13" s="62" t="str">
        <f aca="false">IF('6.3 Inputs'!$F$66="Y",F9*F10,"—")</f>
        <v>—</v>
      </c>
      <c r="G13" s="62" t="str">
        <f aca="false">IF('6.3 Inputs'!$G$66="Y",G9*G10,"—")</f>
        <v>—</v>
      </c>
      <c r="H13" s="62" t="str">
        <f aca="false">IF('6.3 Inputs'!$H$66="Y",H9*H10,"—")</f>
        <v>—</v>
      </c>
      <c r="I13" s="33" t="s">
        <v>268</v>
      </c>
      <c r="J13" s="34" t="s">
        <v>269</v>
      </c>
    </row>
    <row r="14" customFormat="false" ht="21.75" hidden="false" customHeight="true" outlineLevel="0" collapsed="false">
      <c r="B14" s="49" t="s">
        <v>270</v>
      </c>
      <c r="C14" s="62" t="n">
        <f aca="false">IF('6.3 Inputs'!$C$66="Y",C13*C12,"—")</f>
        <v>8303.75</v>
      </c>
      <c r="D14" s="62" t="n">
        <f aca="false">IF('6.3 Inputs'!$D$66="Y",D13*D12,"—")</f>
        <v>9198</v>
      </c>
      <c r="E14" s="62" t="n">
        <f aca="false">IF('6.3 Inputs'!$E$66="Y",E13*E12,"—")</f>
        <v>6387.5</v>
      </c>
      <c r="F14" s="62" t="str">
        <f aca="false">IF('6.3 Inputs'!$F$66="Y",F13*F12,"—")</f>
        <v>—</v>
      </c>
      <c r="G14" s="62" t="str">
        <f aca="false">IF('6.3 Inputs'!$G$66="Y",G13*G12,"—")</f>
        <v>—</v>
      </c>
      <c r="H14" s="62" t="str">
        <f aca="false">IF('6.3 Inputs'!$H$66="Y",H13*H12,"—")</f>
        <v>—</v>
      </c>
      <c r="I14" s="33" t="s">
        <v>268</v>
      </c>
      <c r="J14" s="34" t="s">
        <v>271</v>
      </c>
    </row>
    <row r="15" customFormat="false" ht="21.75" hidden="false" customHeight="true" outlineLevel="0" collapsed="false">
      <c r="B15" s="49" t="s">
        <v>272</v>
      </c>
      <c r="C15" s="35" t="n">
        <f aca="false">IF('6.3 Inputs'!$C$66="Y",C14*C11,"—")</f>
        <v>17853062.5</v>
      </c>
      <c r="D15" s="35" t="n">
        <f aca="false">IF('6.3 Inputs'!$D$66="Y",D14*D11,"—")</f>
        <v>22742055</v>
      </c>
      <c r="E15" s="35" t="n">
        <f aca="false">IF('6.3 Inputs'!$E$66="Y",E14*E11,"—")</f>
        <v>11673156.25</v>
      </c>
      <c r="F15" s="35" t="str">
        <f aca="false">IF('6.3 Inputs'!$F$66="Y",F14*F11,"—")</f>
        <v>—</v>
      </c>
      <c r="G15" s="35" t="str">
        <f aca="false">IF('6.3 Inputs'!$G$66="Y",G14*G11,"—")</f>
        <v>—</v>
      </c>
      <c r="H15" s="35" t="str">
        <f aca="false">IF('6.3 Inputs'!$H$66="Y",H14*H11,"—")</f>
        <v>—</v>
      </c>
      <c r="I15" s="33" t="s">
        <v>273</v>
      </c>
      <c r="J15" s="34" t="s">
        <v>274</v>
      </c>
    </row>
    <row r="16" customFormat="false" ht="21.75" hidden="false" customHeight="true" outlineLevel="0" collapsed="false">
      <c r="B16" s="49" t="s">
        <v>275</v>
      </c>
      <c r="C16" s="35" t="n">
        <f aca="false">IF('6.3 Inputs'!$C$66="Y",C15/C13,"—")</f>
        <v>1397.5</v>
      </c>
      <c r="D16" s="35" t="n">
        <f aca="false">IF('6.3 Inputs'!$D$66="Y",D15/D13,"—")</f>
        <v>1780.2</v>
      </c>
      <c r="E16" s="35" t="n">
        <f aca="false">IF('6.3 Inputs'!$E$66="Y",E15/E13,"—")</f>
        <v>913.75</v>
      </c>
      <c r="F16" s="35" t="str">
        <f aca="false">IF('6.3 Inputs'!$F$66="Y",F15/F13,"—")</f>
        <v>—</v>
      </c>
      <c r="G16" s="35" t="str">
        <f aca="false">IF('6.3 Inputs'!$G$66="Y",G15/G13,"—")</f>
        <v>—</v>
      </c>
      <c r="H16" s="35" t="str">
        <f aca="false">IF('6.3 Inputs'!$H$66="Y",H15/H13,"—")</f>
        <v>—</v>
      </c>
      <c r="I16" s="33" t="s">
        <v>262</v>
      </c>
      <c r="J16" s="34" t="s">
        <v>276</v>
      </c>
    </row>
    <row r="17" customFormat="false" ht="21.75" hidden="false" customHeight="true" outlineLevel="0" collapsed="false">
      <c r="B17" s="49" t="s">
        <v>277</v>
      </c>
      <c r="C17" s="32" t="n">
        <f aca="false">IF('6.3 Inputs'!$C$66="Y",'6.3 Inputs'!$C$70,"—")</f>
        <v>0.35</v>
      </c>
      <c r="D17" s="32" t="n">
        <f aca="false">IF('6.3 Inputs'!$D$66="Y",'6.3 Inputs'!$D$70,"—")</f>
        <v>0.35</v>
      </c>
      <c r="E17" s="32" t="n">
        <f aca="false">IF('6.3 Inputs'!$E$66="Y",'6.3 Inputs'!$E$70,"—")</f>
        <v>0.35</v>
      </c>
      <c r="F17" s="32" t="str">
        <f aca="false">IF('6.3 Inputs'!$F$66="Y",'6.3 Inputs'!$F$70,"—")</f>
        <v>—</v>
      </c>
      <c r="G17" s="32" t="str">
        <f aca="false">IF('6.3 Inputs'!$G$66="Y",'6.3 Inputs'!$G$70,"—")</f>
        <v>—</v>
      </c>
      <c r="H17" s="32" t="str">
        <f aca="false">IF('6.3 Inputs'!$H$66="Y",'6.3 Inputs'!$H$70,"—")</f>
        <v>—</v>
      </c>
      <c r="I17" s="33" t="s">
        <v>265</v>
      </c>
      <c r="J17" s="34" t="s">
        <v>278</v>
      </c>
    </row>
    <row r="18" customFormat="false" ht="15" hidden="false" customHeight="true" outlineLevel="0" collapsed="false">
      <c r="B18" s="49" t="s">
        <v>279</v>
      </c>
      <c r="C18" s="35" t="n">
        <f aca="false">IF('6.3 Inputs'!$C$66="Y",C15*C17,"—")</f>
        <v>6248571.875</v>
      </c>
      <c r="D18" s="35" t="n">
        <f aca="false">IF('6.3 Inputs'!$D$66="Y",D15*D17,"—")</f>
        <v>7959719.25</v>
      </c>
      <c r="E18" s="35" t="n">
        <f aca="false">IF('6.3 Inputs'!$E$66="Y",E15*E17,"—")</f>
        <v>4085604.6875</v>
      </c>
      <c r="F18" s="35" t="str">
        <f aca="false">IF('6.3 Inputs'!$F$66="Y",F15*F17,"—")</f>
        <v>—</v>
      </c>
      <c r="G18" s="35" t="str">
        <f aca="false">IF('6.3 Inputs'!$G$66="Y",G15*G17,"—")</f>
        <v>—</v>
      </c>
      <c r="H18" s="35" t="str">
        <f aca="false">IF('6.3 Inputs'!$H$66="Y",H15*H17,"—")</f>
        <v>—</v>
      </c>
      <c r="I18" s="33" t="s">
        <v>273</v>
      </c>
      <c r="J18" s="34" t="s">
        <v>280</v>
      </c>
    </row>
    <row r="19" customFormat="false" ht="15" hidden="false" customHeight="true" outlineLevel="0" collapsed="false">
      <c r="B19" s="63" t="s">
        <v>281</v>
      </c>
      <c r="C19" s="64" t="n">
        <f aca="false">IF('6.3 Inputs'!$C$66="Y",C15+C18,"—")</f>
        <v>24101634.375</v>
      </c>
      <c r="D19" s="64" t="n">
        <f aca="false">IF('6.3 Inputs'!$D$66="Y",D15+D18,"—")</f>
        <v>30701774.25</v>
      </c>
      <c r="E19" s="64" t="n">
        <f aca="false">IF('6.3 Inputs'!$E$66="Y",E15+E18,"—")</f>
        <v>15758760.9375</v>
      </c>
      <c r="F19" s="64" t="str">
        <f aca="false">IF('6.3 Inputs'!$F$66="Y",F15+F18,"—")</f>
        <v>—</v>
      </c>
      <c r="G19" s="65" t="str">
        <f aca="false">IF('6.3 Inputs'!$G$66="Y",G15+G18,"—")</f>
        <v>—</v>
      </c>
      <c r="H19" s="65" t="str">
        <f aca="false">IF('6.3 Inputs'!$H$66="Y",H15+H18,"—")</f>
        <v>—</v>
      </c>
      <c r="I19" s="33" t="s">
        <v>273</v>
      </c>
      <c r="J19" s="34" t="s">
        <v>282</v>
      </c>
    </row>
    <row r="20" customFormat="false" ht="49.5" hidden="false" customHeight="true" outlineLevel="0" collapsed="false">
      <c r="B20" s="66"/>
      <c r="C20" s="66"/>
      <c r="D20" s="66"/>
      <c r="E20" s="66"/>
      <c r="F20" s="66"/>
    </row>
    <row r="22" customFormat="false" ht="15" hidden="false" customHeight="true" outlineLevel="0" collapsed="false">
      <c r="B22" s="10" t="s">
        <v>283</v>
      </c>
      <c r="C22" s="10"/>
      <c r="D22" s="10"/>
      <c r="E22" s="10"/>
      <c r="F22" s="10"/>
      <c r="G22" s="10"/>
      <c r="H22" s="10"/>
      <c r="I22" s="10"/>
      <c r="J22" s="10"/>
    </row>
    <row r="23" customFormat="false" ht="49.5" hidden="false" customHeight="true" outlineLevel="0" collapsed="false">
      <c r="B23" s="11" t="s">
        <v>284</v>
      </c>
      <c r="C23" s="11"/>
      <c r="D23" s="11"/>
      <c r="E23" s="11"/>
      <c r="F23" s="11"/>
      <c r="G23" s="11"/>
      <c r="H23" s="11"/>
      <c r="I23" s="11"/>
      <c r="J23" s="11"/>
    </row>
    <row r="25" customFormat="false" ht="15" hidden="false" customHeight="true" outlineLevel="0" collapsed="false">
      <c r="B25" s="37" t="s">
        <v>285</v>
      </c>
      <c r="C25" s="37"/>
      <c r="D25" s="37"/>
      <c r="E25" s="37"/>
      <c r="F25" s="37"/>
      <c r="G25" s="37"/>
      <c r="H25" s="37"/>
      <c r="I25" s="37"/>
      <c r="J25" s="37"/>
    </row>
  </sheetData>
  <mergeCells count="6">
    <mergeCell ref="B2:J2"/>
    <mergeCell ref="B3:F3"/>
    <mergeCell ref="B20:F20"/>
    <mergeCell ref="B22:J22"/>
    <mergeCell ref="B23:J23"/>
    <mergeCell ref="B25:J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0808D"/>
    <pageSetUpPr fitToPage="false"/>
  </sheetPr>
  <dimension ref="B2:I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2"/>
    <col collapsed="false" customWidth="true" hidden="false" outlineLevel="0" max="2" min="2" style="1" width="32"/>
    <col collapsed="false" customWidth="true" hidden="false" outlineLevel="0" max="8" min="3" style="1" width="14"/>
    <col collapsed="false" customWidth="true" hidden="false" outlineLevel="0" max="9" min="9" style="1" width="60"/>
  </cols>
  <sheetData>
    <row r="2" customFormat="false" ht="44.25" hidden="false" customHeight="true" outlineLevel="0" collapsed="false">
      <c r="B2" s="58" t="s">
        <v>286</v>
      </c>
      <c r="C2" s="58"/>
      <c r="D2" s="58"/>
      <c r="E2" s="58"/>
      <c r="F2" s="58"/>
      <c r="G2" s="58"/>
      <c r="H2" s="58"/>
      <c r="I2" s="58"/>
    </row>
    <row r="3" customFormat="false" ht="27.75" hidden="false" customHeight="true" outlineLevel="0" collapsed="false">
      <c r="B3" s="36" t="s">
        <v>287</v>
      </c>
      <c r="C3" s="36"/>
      <c r="D3" s="36"/>
      <c r="E3" s="36"/>
      <c r="F3" s="36"/>
      <c r="G3" s="36"/>
      <c r="H3" s="36"/>
      <c r="I3" s="36"/>
    </row>
    <row r="5" customFormat="false" ht="30" hidden="false" customHeight="true" outlineLevel="0" collapsed="false">
      <c r="B5" s="59" t="s">
        <v>288</v>
      </c>
      <c r="C5" s="59" t="s">
        <v>57</v>
      </c>
      <c r="D5" s="59" t="s">
        <v>236</v>
      </c>
      <c r="E5" s="59" t="s">
        <v>92</v>
      </c>
      <c r="F5" s="59" t="s">
        <v>237</v>
      </c>
      <c r="G5" s="59" t="s">
        <v>238</v>
      </c>
      <c r="H5" s="59" t="s">
        <v>239</v>
      </c>
      <c r="I5" s="59" t="s">
        <v>289</v>
      </c>
    </row>
    <row r="6" customFormat="false" ht="15" hidden="false" customHeight="true" outlineLevel="0" collapsed="false">
      <c r="B6" s="60" t="s">
        <v>254</v>
      </c>
      <c r="C6" s="67" t="str">
        <f aca="false">'6.3 Inputs'!C67</f>
        <v>Base Case</v>
      </c>
      <c r="D6" s="67" t="str">
        <f aca="false">'6.3 Inputs'!D67</f>
        <v>Upside</v>
      </c>
      <c r="E6" s="67" t="str">
        <f aca="false">'6.3 Inputs'!E67</f>
        <v>Combined Stress</v>
      </c>
      <c r="F6" s="33" t="str">
        <f aca="false">'6.3 Inputs'!F67</f>
        <v>Custom A</v>
      </c>
      <c r="G6" s="33" t="str">
        <f aca="false">'6.3 Inputs'!G67</f>
        <v>Custom B</v>
      </c>
      <c r="H6" s="33" t="str">
        <f aca="false">'6.3 Inputs'!H67</f>
        <v>Custom C</v>
      </c>
      <c r="I6" s="61"/>
    </row>
    <row r="7" customFormat="false" ht="21.75" hidden="false" customHeight="true" outlineLevel="0" collapsed="false">
      <c r="B7" s="60" t="s">
        <v>290</v>
      </c>
      <c r="C7" s="33" t="str">
        <f aca="false">'6.3 Inputs'!C66</f>
        <v>Y</v>
      </c>
      <c r="D7" s="33" t="str">
        <f aca="false">'6.3 Inputs'!D66</f>
        <v>Y</v>
      </c>
      <c r="E7" s="33" t="str">
        <f aca="false">'6.3 Inputs'!E66</f>
        <v>Y</v>
      </c>
      <c r="F7" s="33" t="str">
        <f aca="false">'6.3 Inputs'!F66</f>
        <v>N</v>
      </c>
      <c r="G7" s="33" t="str">
        <f aca="false">'6.3 Inputs'!G66</f>
        <v>N</v>
      </c>
      <c r="H7" s="33" t="str">
        <f aca="false">'6.3 Inputs'!H66</f>
        <v>N</v>
      </c>
      <c r="I7" s="61"/>
    </row>
    <row r="8" customFormat="false" ht="21.75" hidden="false" customHeight="true" outlineLevel="0" collapsed="false">
      <c r="B8" s="61"/>
      <c r="C8" s="61"/>
      <c r="D8" s="61"/>
      <c r="E8" s="61"/>
      <c r="F8" s="61"/>
      <c r="G8" s="61"/>
      <c r="H8" s="61"/>
      <c r="I8" s="61"/>
    </row>
    <row r="9" customFormat="false" ht="21.75" hidden="false" customHeight="true" outlineLevel="0" collapsed="false">
      <c r="B9" s="68" t="s">
        <v>291</v>
      </c>
      <c r="C9" s="68"/>
      <c r="D9" s="68"/>
      <c r="E9" s="68"/>
      <c r="F9" s="68"/>
      <c r="G9" s="68"/>
      <c r="H9" s="68"/>
      <c r="I9" s="68"/>
    </row>
    <row r="10" customFormat="false" ht="15" hidden="false" customHeight="true" outlineLevel="0" collapsed="false">
      <c r="B10" s="69" t="s">
        <v>100</v>
      </c>
      <c r="C10" s="70" t="n">
        <f aca="false">IF('6.3 Inputs'!$C$66="Y",'6.3.1 Demand-Rev'!C19,"—")</f>
        <v>24101634.375</v>
      </c>
      <c r="D10" s="70" t="n">
        <f aca="false">IF('6.3 Inputs'!$D$66="Y",'6.3.1 Demand-Rev'!D19,"—")</f>
        <v>30701774.25</v>
      </c>
      <c r="E10" s="70" t="n">
        <f aca="false">IF('6.3 Inputs'!$E$66="Y",'6.3.1 Demand-Rev'!E19,"—")</f>
        <v>15758760.9375</v>
      </c>
      <c r="F10" s="35" t="str">
        <f aca="false">IF('6.3 Inputs'!$F$66="Y",'6.3.1 Demand-Rev'!F19,"—")</f>
        <v>—</v>
      </c>
      <c r="G10" s="35" t="str">
        <f aca="false">IF('6.3 Inputs'!$G$66="Y",'6.3.1 Demand-Rev'!G19,"—")</f>
        <v>—</v>
      </c>
      <c r="H10" s="35" t="str">
        <f aca="false">IF('6.3 Inputs'!$H$66="Y",'6.3.1 Demand-Rev'!H19,"—")</f>
        <v>—</v>
      </c>
      <c r="I10" s="34" t="s">
        <v>292</v>
      </c>
    </row>
    <row r="11" customFormat="false" ht="21.75" hidden="false" customHeight="true" outlineLevel="0" collapsed="false">
      <c r="B11" s="69" t="s">
        <v>293</v>
      </c>
      <c r="C11" s="35" t="n">
        <f aca="false">IF('6.3 Inputs'!$C$66="Y",'6.3.1 Demand-Rev'!C15,"—")</f>
        <v>17853062.5</v>
      </c>
      <c r="D11" s="35" t="n">
        <f aca="false">IF('6.3 Inputs'!$D$66="Y",'6.3.1 Demand-Rev'!D15,"—")</f>
        <v>22742055</v>
      </c>
      <c r="E11" s="35" t="n">
        <f aca="false">IF('6.3 Inputs'!$E$66="Y",'6.3.1 Demand-Rev'!E15,"—")</f>
        <v>11673156.25</v>
      </c>
      <c r="F11" s="35" t="str">
        <f aca="false">IF('6.3 Inputs'!$F$66="Y",'6.3.1 Demand-Rev'!F15,"—")</f>
        <v>—</v>
      </c>
      <c r="G11" s="35" t="str">
        <f aca="false">IF('6.3 Inputs'!$G$66="Y",'6.3.1 Demand-Rev'!G15,"—")</f>
        <v>—</v>
      </c>
      <c r="H11" s="35" t="str">
        <f aca="false">IF('6.3 Inputs'!$H$66="Y",'6.3.1 Demand-Rev'!H15,"—")</f>
        <v>—</v>
      </c>
      <c r="I11" s="34" t="s">
        <v>294</v>
      </c>
    </row>
    <row r="12" customFormat="false" ht="15" hidden="false" customHeight="true" outlineLevel="0" collapsed="false">
      <c r="B12" s="69" t="s">
        <v>295</v>
      </c>
      <c r="C12" s="70" t="n">
        <f aca="false">IF('6.3 Inputs'!$C$66="Y",'6.3.1 Demand-Rev'!C18,"—")</f>
        <v>6248571.875</v>
      </c>
      <c r="D12" s="70" t="n">
        <f aca="false">IF('6.3 Inputs'!$D$66="Y",'6.3.1 Demand-Rev'!D18,"—")</f>
        <v>7959719.25</v>
      </c>
      <c r="E12" s="70" t="n">
        <f aca="false">IF('6.3 Inputs'!$E$66="Y",'6.3.1 Demand-Rev'!E18,"—")</f>
        <v>4085604.6875</v>
      </c>
      <c r="F12" s="35" t="str">
        <f aca="false">IF('6.3 Inputs'!$F$66="Y",'6.3.1 Demand-Rev'!F18,"—")</f>
        <v>—</v>
      </c>
      <c r="G12" s="35" t="str">
        <f aca="false">IF('6.3 Inputs'!$G$66="Y",'6.3.1 Demand-Rev'!G18,"—")</f>
        <v>—</v>
      </c>
      <c r="H12" s="35" t="str">
        <f aca="false">IF('6.3 Inputs'!$H$66="Y",'6.3.1 Demand-Rev'!H18,"—")</f>
        <v>—</v>
      </c>
      <c r="I12" s="34" t="s">
        <v>296</v>
      </c>
    </row>
    <row r="13" customFormat="false" ht="21.75" hidden="false" customHeight="true" outlineLevel="0" collapsed="false">
      <c r="B13" s="61"/>
      <c r="C13" s="61"/>
      <c r="D13" s="61"/>
      <c r="E13" s="61"/>
      <c r="F13" s="61"/>
      <c r="G13" s="61"/>
      <c r="H13" s="61"/>
      <c r="I13" s="61"/>
    </row>
    <row r="14" customFormat="false" ht="21.75" hidden="false" customHeight="true" outlineLevel="0" collapsed="false">
      <c r="B14" s="68" t="s">
        <v>159</v>
      </c>
      <c r="C14" s="68"/>
      <c r="D14" s="68"/>
      <c r="E14" s="68"/>
      <c r="F14" s="68"/>
      <c r="G14" s="68"/>
      <c r="H14" s="68"/>
      <c r="I14" s="68"/>
    </row>
    <row r="15" customFormat="false" ht="15" hidden="false" customHeight="true" outlineLevel="0" collapsed="false">
      <c r="B15" s="69" t="s">
        <v>297</v>
      </c>
      <c r="C15" s="70" t="n">
        <f aca="false">IF('6.3 Inputs'!$C$66="Y",C10*'6.3 Inputs'!$C$20,"—")</f>
        <v>17353176.75</v>
      </c>
      <c r="D15" s="70" t="n">
        <f aca="false">IF('6.3 Inputs'!$D$66="Y",D10*'6.3 Inputs'!$C$20,"—")</f>
        <v>22105277.46</v>
      </c>
      <c r="E15" s="70" t="n">
        <f aca="false">IF('6.3 Inputs'!$E$66="Y",E10*'6.3 Inputs'!$C$20,"—")</f>
        <v>11346307.875</v>
      </c>
      <c r="F15" s="35" t="str">
        <f aca="false">IF('6.3 Inputs'!$F$66="Y",F10*'6.3 Inputs'!$C$20,"—")</f>
        <v>—</v>
      </c>
      <c r="G15" s="35" t="str">
        <f aca="false">IF('6.3 Inputs'!$G$66="Y",G10*'6.3 Inputs'!$C$20,"—")</f>
        <v>—</v>
      </c>
      <c r="H15" s="35" t="str">
        <f aca="false">IF('6.3 Inputs'!$H$66="Y",H10*'6.3 Inputs'!$C$20,"—")</f>
        <v>—</v>
      </c>
      <c r="I15" s="34" t="s">
        <v>298</v>
      </c>
    </row>
    <row r="16" customFormat="false" ht="21.75" hidden="false" customHeight="true" outlineLevel="0" collapsed="false">
      <c r="B16" s="61"/>
      <c r="C16" s="61"/>
      <c r="D16" s="61"/>
      <c r="E16" s="61"/>
      <c r="F16" s="61"/>
      <c r="G16" s="61"/>
      <c r="H16" s="61"/>
      <c r="I16" s="61"/>
    </row>
    <row r="17" customFormat="false" ht="21.75" hidden="false" customHeight="true" outlineLevel="0" collapsed="false">
      <c r="B17" s="68" t="s">
        <v>299</v>
      </c>
      <c r="C17" s="68"/>
      <c r="D17" s="68"/>
      <c r="E17" s="68"/>
      <c r="F17" s="68"/>
      <c r="G17" s="68"/>
      <c r="H17" s="68"/>
      <c r="I17" s="68"/>
    </row>
    <row r="18" customFormat="false" ht="21.75" hidden="false" customHeight="true" outlineLevel="0" collapsed="false">
      <c r="B18" s="49" t="s">
        <v>300</v>
      </c>
      <c r="C18" s="71" t="n">
        <f aca="false">IF('6.3 Inputs'!$C$66="Y",C10-C15,"—")</f>
        <v>6748457.625</v>
      </c>
      <c r="D18" s="71" t="n">
        <f aca="false">IF('6.3 Inputs'!$D$66="Y",D10-D15,"—")</f>
        <v>8596496.79</v>
      </c>
      <c r="E18" s="71" t="n">
        <f aca="false">IF('6.3 Inputs'!$E$66="Y",E10-E15,"—")</f>
        <v>4412453.0625</v>
      </c>
      <c r="F18" s="71" t="str">
        <f aca="false">IF('6.3 Inputs'!$F$66="Y",F10-F15,"—")</f>
        <v>—</v>
      </c>
      <c r="G18" s="71" t="str">
        <f aca="false">IF('6.3 Inputs'!$G$66="Y",G10-G15,"—")</f>
        <v>—</v>
      </c>
      <c r="H18" s="71" t="str">
        <f aca="false">IF('6.3 Inputs'!$H$66="Y",H10-H15,"—")</f>
        <v>—</v>
      </c>
      <c r="I18" s="34" t="s">
        <v>301</v>
      </c>
    </row>
    <row r="19" customFormat="false" ht="15" hidden="false" customHeight="true" outlineLevel="0" collapsed="false">
      <c r="B19" s="69" t="s">
        <v>101</v>
      </c>
      <c r="C19" s="72" t="n">
        <f aca="false">IF('6.3 Inputs'!$C$66="Y",C18/C10,"—")</f>
        <v>0.28</v>
      </c>
      <c r="D19" s="72" t="n">
        <f aca="false">IF('6.3 Inputs'!$D$66="Y",D18/D10,"—")</f>
        <v>0.28</v>
      </c>
      <c r="E19" s="72" t="n">
        <f aca="false">IF('6.3 Inputs'!$E$66="Y",E18/E10,"—")</f>
        <v>0.28</v>
      </c>
      <c r="F19" s="32" t="str">
        <f aca="false">IF('6.3 Inputs'!$F$66="Y",F18/F10,"—")</f>
        <v>—</v>
      </c>
      <c r="G19" s="32" t="str">
        <f aca="false">IF('6.3 Inputs'!$G$66="Y",G18/G10,"—")</f>
        <v>—</v>
      </c>
      <c r="H19" s="32" t="str">
        <f aca="false">IF('6.3 Inputs'!$H$66="Y",H18/H10,"—")</f>
        <v>—</v>
      </c>
      <c r="I19" s="34" t="s">
        <v>302</v>
      </c>
    </row>
    <row r="20" customFormat="false" ht="21.75" hidden="false" customHeight="true" outlineLevel="0" collapsed="false">
      <c r="B20" s="61"/>
      <c r="C20" s="61"/>
      <c r="D20" s="61"/>
      <c r="E20" s="61"/>
      <c r="F20" s="61"/>
      <c r="G20" s="61"/>
      <c r="H20" s="61"/>
      <c r="I20" s="61"/>
    </row>
    <row r="21" customFormat="false" ht="15" hidden="false" customHeight="true" outlineLevel="0" collapsed="false">
      <c r="B21" s="68" t="s">
        <v>303</v>
      </c>
      <c r="C21" s="68"/>
      <c r="D21" s="68"/>
      <c r="E21" s="68"/>
      <c r="F21" s="68"/>
      <c r="G21" s="68"/>
      <c r="H21" s="68"/>
      <c r="I21" s="68"/>
    </row>
    <row r="22" customFormat="false" ht="21.75" hidden="false" customHeight="true" outlineLevel="0" collapsed="false">
      <c r="B22" s="69" t="s">
        <v>304</v>
      </c>
      <c r="C22" s="35" t="n">
        <f aca="false">IF('6.3 Inputs'!$C$66="Y",C10*'6.3 Inputs'!$C$21,"—")</f>
        <v>723049.03125</v>
      </c>
      <c r="D22" s="35" t="n">
        <f aca="false">IF('6.3 Inputs'!$D$66="Y",D10*'6.3 Inputs'!$C$21,"—")</f>
        <v>921053.2275</v>
      </c>
      <c r="E22" s="35" t="n">
        <f aca="false">IF('6.3 Inputs'!$E$66="Y",E10*'6.3 Inputs'!$C$21,"—")</f>
        <v>472762.828125</v>
      </c>
      <c r="F22" s="35" t="str">
        <f aca="false">IF('6.3 Inputs'!$F$66="Y",F10*'6.3 Inputs'!$C$21,"—")</f>
        <v>—</v>
      </c>
      <c r="G22" s="35" t="str">
        <f aca="false">IF('6.3 Inputs'!$G$66="Y",G10*'6.3 Inputs'!$C$21,"—")</f>
        <v>—</v>
      </c>
      <c r="H22" s="35" t="str">
        <f aca="false">IF('6.3 Inputs'!$H$66="Y",H10*'6.3 Inputs'!$C$21,"—")</f>
        <v>—</v>
      </c>
      <c r="I22" s="34" t="s">
        <v>305</v>
      </c>
    </row>
    <row r="23" customFormat="false" ht="15" hidden="false" customHeight="true" outlineLevel="0" collapsed="false">
      <c r="B23" s="69" t="s">
        <v>306</v>
      </c>
      <c r="C23" s="70" t="n">
        <f aca="false">IF('6.3 Inputs'!$C$66="Y",C18*'6.3 Inputs'!$C$22,"—")</f>
        <v>539876.61</v>
      </c>
      <c r="D23" s="70" t="n">
        <f aca="false">IF('6.3 Inputs'!$D$66="Y",D18*'6.3 Inputs'!$C$22,"—")</f>
        <v>687719.7432</v>
      </c>
      <c r="E23" s="70" t="n">
        <f aca="false">IF('6.3 Inputs'!$E$66="Y",E18*'6.3 Inputs'!$C$22,"—")</f>
        <v>352996.245</v>
      </c>
      <c r="F23" s="35" t="str">
        <f aca="false">IF('6.3 Inputs'!$F$66="Y",F18*'6.3 Inputs'!$C$22,"—")</f>
        <v>—</v>
      </c>
      <c r="G23" s="35" t="str">
        <f aca="false">IF('6.3 Inputs'!$G$66="Y",G18*'6.3 Inputs'!$C$22,"—")</f>
        <v>—</v>
      </c>
      <c r="H23" s="35" t="str">
        <f aca="false">IF('6.3 Inputs'!$H$66="Y",H18*'6.3 Inputs'!$C$22,"—")</f>
        <v>—</v>
      </c>
      <c r="I23" s="34" t="s">
        <v>307</v>
      </c>
    </row>
    <row r="24" customFormat="false" ht="21.75" hidden="false" customHeight="true" outlineLevel="0" collapsed="false">
      <c r="B24" s="69" t="s">
        <v>308</v>
      </c>
      <c r="C24" s="35" t="n">
        <f aca="false">IF('6.3 Inputs'!$C$66="Y",C22+C23,"—")</f>
        <v>1262925.64125</v>
      </c>
      <c r="D24" s="35" t="n">
        <f aca="false">IF('6.3 Inputs'!$D$66="Y",D22+D23,"—")</f>
        <v>1608772.9707</v>
      </c>
      <c r="E24" s="35" t="n">
        <f aca="false">IF('6.3 Inputs'!$E$66="Y",E22+E23,"—")</f>
        <v>825759.073125</v>
      </c>
      <c r="F24" s="35" t="str">
        <f aca="false">IF('6.3 Inputs'!$F$66="Y",F22+F23,"—")</f>
        <v>—</v>
      </c>
      <c r="G24" s="35" t="str">
        <f aca="false">IF('6.3 Inputs'!$G$66="Y",G22+G23,"—")</f>
        <v>—</v>
      </c>
      <c r="H24" s="35" t="str">
        <f aca="false">IF('6.3 Inputs'!$H$66="Y",H22+H23,"—")</f>
        <v>—</v>
      </c>
      <c r="I24" s="34" t="s">
        <v>309</v>
      </c>
    </row>
    <row r="25" customFormat="false" ht="21.75" hidden="false" customHeight="true" outlineLevel="0" collapsed="false">
      <c r="B25" s="61"/>
      <c r="C25" s="61"/>
      <c r="D25" s="61"/>
      <c r="E25" s="61"/>
      <c r="F25" s="61"/>
      <c r="G25" s="61"/>
      <c r="H25" s="61"/>
      <c r="I25" s="61"/>
    </row>
    <row r="26" customFormat="false" ht="15" hidden="false" customHeight="true" outlineLevel="0" collapsed="false">
      <c r="B26" s="68" t="s">
        <v>310</v>
      </c>
      <c r="C26" s="68"/>
      <c r="D26" s="68"/>
      <c r="E26" s="68"/>
      <c r="F26" s="68"/>
      <c r="G26" s="68"/>
      <c r="H26" s="68"/>
      <c r="I26" s="68"/>
    </row>
    <row r="27" customFormat="false" ht="15" hidden="false" customHeight="true" outlineLevel="0" collapsed="false">
      <c r="B27" s="49" t="s">
        <v>311</v>
      </c>
      <c r="C27" s="71" t="n">
        <f aca="false">IF('6.3 Inputs'!$C$66="Y",C18-C24,"—")</f>
        <v>5485531.98375</v>
      </c>
      <c r="D27" s="71" t="n">
        <f aca="false">IF('6.3 Inputs'!$D$66="Y",D18-D24,"—")</f>
        <v>6987723.8193</v>
      </c>
      <c r="E27" s="71" t="n">
        <f aca="false">IF('6.3 Inputs'!$E$66="Y",E18-E24,"—")</f>
        <v>3586693.989375</v>
      </c>
      <c r="F27" s="71" t="str">
        <f aca="false">IF('6.3 Inputs'!$F$66="Y",F18-F24,"—")</f>
        <v>—</v>
      </c>
      <c r="G27" s="71" t="str">
        <f aca="false">IF('6.3 Inputs'!$G$66="Y",G18-G24,"—")</f>
        <v>—</v>
      </c>
      <c r="H27" s="71" t="str">
        <f aca="false">IF('6.3 Inputs'!$H$66="Y",H18-H24,"—")</f>
        <v>—</v>
      </c>
      <c r="I27" s="34" t="s">
        <v>312</v>
      </c>
    </row>
    <row r="28" customFormat="false" ht="15" hidden="false" customHeight="true" outlineLevel="0" collapsed="false">
      <c r="B28" s="61"/>
      <c r="C28" s="61"/>
      <c r="D28" s="61"/>
      <c r="E28" s="61"/>
      <c r="F28" s="61"/>
      <c r="G28" s="61"/>
      <c r="H28" s="61"/>
      <c r="I28" s="61"/>
    </row>
    <row r="29" customFormat="false" ht="15" hidden="false" customHeight="true" outlineLevel="0" collapsed="false">
      <c r="B29" s="68" t="s">
        <v>313</v>
      </c>
      <c r="C29" s="68"/>
      <c r="D29" s="68"/>
      <c r="E29" s="68"/>
      <c r="F29" s="68"/>
      <c r="G29" s="68"/>
      <c r="H29" s="68"/>
      <c r="I29" s="68"/>
    </row>
    <row r="30" customFormat="false" ht="15" hidden="false" customHeight="true" outlineLevel="0" collapsed="false">
      <c r="B30" s="69" t="s">
        <v>314</v>
      </c>
      <c r="C30" s="35" t="n">
        <f aca="false">IF('6.3 Inputs'!$C$66="Y",C10*'6.3 Inputs'!$C$23,"—")</f>
        <v>723049.03125</v>
      </c>
      <c r="D30" s="35" t="n">
        <f aca="false">IF('6.3 Inputs'!$D$66="Y",D10*'6.3 Inputs'!$C$23,"—")</f>
        <v>921053.2275</v>
      </c>
      <c r="E30" s="35" t="n">
        <f aca="false">IF('6.3 Inputs'!$E$66="Y",E10*'6.3 Inputs'!$C$23,"—")</f>
        <v>472762.828125</v>
      </c>
      <c r="F30" s="35" t="str">
        <f aca="false">IF('6.3 Inputs'!$F$66="Y",F10*'6.3 Inputs'!$C$23,"—")</f>
        <v>—</v>
      </c>
      <c r="G30" s="35" t="str">
        <f aca="false">IF('6.3 Inputs'!$G$66="Y",G10*'6.3 Inputs'!$C$23,"—")</f>
        <v>—</v>
      </c>
      <c r="H30" s="35" t="str">
        <f aca="false">IF('6.3 Inputs'!$H$66="Y",H10*'6.3 Inputs'!$C$23,"—")</f>
        <v>—</v>
      </c>
      <c r="I30" s="34" t="s">
        <v>315</v>
      </c>
    </row>
    <row r="31" customFormat="false" ht="15" hidden="false" customHeight="true" outlineLevel="0" collapsed="false">
      <c r="B31" s="61"/>
      <c r="C31" s="61"/>
      <c r="D31" s="61"/>
      <c r="E31" s="61"/>
      <c r="F31" s="61"/>
      <c r="G31" s="61"/>
      <c r="H31" s="61"/>
      <c r="I31" s="61"/>
    </row>
    <row r="32" customFormat="false" ht="15" hidden="false" customHeight="true" outlineLevel="0" collapsed="false">
      <c r="B32" s="68" t="s">
        <v>316</v>
      </c>
      <c r="C32" s="68"/>
      <c r="D32" s="68"/>
      <c r="E32" s="68"/>
      <c r="F32" s="68"/>
      <c r="G32" s="68"/>
      <c r="H32" s="68"/>
      <c r="I32" s="68"/>
    </row>
    <row r="33" customFormat="false" ht="15" hidden="false" customHeight="true" outlineLevel="0" collapsed="false">
      <c r="B33" s="49" t="s">
        <v>317</v>
      </c>
      <c r="C33" s="65" t="n">
        <f aca="false">IF('6.3 Inputs'!$C$66="Y",C27-C30,"—")</f>
        <v>4762482.9525</v>
      </c>
      <c r="D33" s="65" t="n">
        <f aca="false">IF('6.3 Inputs'!$D$66="Y",D27-D30,"—")</f>
        <v>6066670.5918</v>
      </c>
      <c r="E33" s="65" t="n">
        <f aca="false">IF('6.3 Inputs'!$E$66="Y",E27-E30,"—")</f>
        <v>3113931.16125</v>
      </c>
      <c r="F33" s="65" t="str">
        <f aca="false">IF('6.3 Inputs'!$F$66="Y",F27-F30,"—")</f>
        <v>—</v>
      </c>
      <c r="G33" s="65" t="str">
        <f aca="false">IF('6.3 Inputs'!$G$66="Y",G27-G30,"—")</f>
        <v>—</v>
      </c>
      <c r="H33" s="65" t="str">
        <f aca="false">IF('6.3 Inputs'!$H$66="Y",H27-H30,"—")</f>
        <v>—</v>
      </c>
      <c r="I33" s="34" t="s">
        <v>318</v>
      </c>
    </row>
    <row r="34" customFormat="false" ht="15" hidden="false" customHeight="true" outlineLevel="0" collapsed="false">
      <c r="B34" s="69" t="s">
        <v>319</v>
      </c>
      <c r="C34" s="32" t="n">
        <f aca="false">IF('6.3 Inputs'!$C$66="Y",C33/C10,"—")</f>
        <v>0.1976</v>
      </c>
      <c r="D34" s="32" t="n">
        <f aca="false">IF('6.3 Inputs'!$D$66="Y",D33/D10,"—")</f>
        <v>0.1976</v>
      </c>
      <c r="E34" s="32" t="n">
        <f aca="false">IF('6.3 Inputs'!$E$66="Y",E33/E10,"—")</f>
        <v>0.1976</v>
      </c>
      <c r="F34" s="32" t="str">
        <f aca="false">IF('6.3 Inputs'!$F$66="Y",F33/F10,"—")</f>
        <v>—</v>
      </c>
      <c r="G34" s="32" t="str">
        <f aca="false">IF('6.3 Inputs'!$G$66="Y",G33/G10,"—")</f>
        <v>—</v>
      </c>
      <c r="H34" s="32" t="str">
        <f aca="false">IF('6.3 Inputs'!$H$66="Y",H33/H10,"—")</f>
        <v>—</v>
      </c>
      <c r="I34" s="34" t="s">
        <v>320</v>
      </c>
    </row>
    <row r="37" customFormat="false" ht="15" hidden="false" customHeight="true" outlineLevel="0" collapsed="false">
      <c r="B37" s="37" t="s">
        <v>321</v>
      </c>
      <c r="C37" s="37"/>
      <c r="D37" s="37"/>
      <c r="E37" s="37"/>
      <c r="F37" s="37"/>
      <c r="G37" s="37"/>
      <c r="H37" s="37"/>
      <c r="I37" s="37"/>
    </row>
  </sheetData>
  <mergeCells count="10">
    <mergeCell ref="B2:I2"/>
    <mergeCell ref="B3:I3"/>
    <mergeCell ref="B9:I9"/>
    <mergeCell ref="B14:I14"/>
    <mergeCell ref="B17:I17"/>
    <mergeCell ref="B21:I21"/>
    <mergeCell ref="B26:I26"/>
    <mergeCell ref="B29:I29"/>
    <mergeCell ref="B32:I32"/>
    <mergeCell ref="B37:I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0808D"/>
    <pageSetUpPr fitToPage="false"/>
  </sheetPr>
  <dimension ref="B2:I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2"/>
    <col collapsed="false" customWidth="true" hidden="false" outlineLevel="0" max="2" min="2" style="1" width="32"/>
    <col collapsed="false" customWidth="true" hidden="false" outlineLevel="0" max="8" min="3" style="1" width="14"/>
    <col collapsed="false" customWidth="true" hidden="false" outlineLevel="0" max="9" min="9" style="1" width="50"/>
  </cols>
  <sheetData>
    <row r="2" customFormat="false" ht="66" hidden="false" customHeight="true" outlineLevel="0" collapsed="false">
      <c r="B2" s="58" t="s">
        <v>322</v>
      </c>
      <c r="C2" s="58"/>
      <c r="D2" s="58"/>
      <c r="E2" s="58"/>
      <c r="F2" s="58"/>
      <c r="G2" s="58"/>
      <c r="H2" s="58"/>
      <c r="I2" s="58"/>
    </row>
    <row r="3" customFormat="false" ht="27.75" hidden="false" customHeight="true" outlineLevel="0" collapsed="false">
      <c r="B3" s="36" t="s">
        <v>323</v>
      </c>
      <c r="C3" s="36"/>
      <c r="D3" s="36"/>
      <c r="E3" s="36"/>
    </row>
    <row r="5" customFormat="false" ht="30" hidden="false" customHeight="true" outlineLevel="0" collapsed="false">
      <c r="B5" s="59" t="s">
        <v>90</v>
      </c>
      <c r="C5" s="59" t="s">
        <v>57</v>
      </c>
      <c r="D5" s="59" t="s">
        <v>236</v>
      </c>
      <c r="E5" s="59" t="s">
        <v>92</v>
      </c>
      <c r="F5" s="59" t="s">
        <v>237</v>
      </c>
      <c r="G5" s="59" t="s">
        <v>238</v>
      </c>
      <c r="H5" s="59" t="s">
        <v>239</v>
      </c>
      <c r="I5" s="59" t="s">
        <v>289</v>
      </c>
    </row>
    <row r="6" customFormat="false" ht="15" hidden="false" customHeight="true" outlineLevel="0" collapsed="false">
      <c r="B6" s="60" t="s">
        <v>254</v>
      </c>
      <c r="C6" s="67" t="str">
        <f aca="false">'6.3 Inputs'!C67</f>
        <v>Base Case</v>
      </c>
      <c r="D6" s="67" t="str">
        <f aca="false">'6.3 Inputs'!D67</f>
        <v>Upside</v>
      </c>
      <c r="E6" s="67" t="str">
        <f aca="false">'6.3 Inputs'!E67</f>
        <v>Combined Stress</v>
      </c>
      <c r="F6" s="33" t="str">
        <f aca="false">'6.3 Inputs'!F67</f>
        <v>Custom A</v>
      </c>
      <c r="G6" s="33" t="str">
        <f aca="false">'6.3 Inputs'!G67</f>
        <v>Custom B</v>
      </c>
      <c r="H6" s="33" t="str">
        <f aca="false">'6.3 Inputs'!H67</f>
        <v>Custom C</v>
      </c>
      <c r="I6" s="61"/>
    </row>
    <row r="7" customFormat="false" ht="21.75" hidden="false" customHeight="true" outlineLevel="0" collapsed="false">
      <c r="B7" s="60" t="s">
        <v>290</v>
      </c>
      <c r="C7" s="33" t="str">
        <f aca="false">'6.3 Inputs'!C66</f>
        <v>Y</v>
      </c>
      <c r="D7" s="33" t="str">
        <f aca="false">'6.3 Inputs'!D66</f>
        <v>Y</v>
      </c>
      <c r="E7" s="33" t="str">
        <f aca="false">'6.3 Inputs'!E66</f>
        <v>Y</v>
      </c>
      <c r="F7" s="33" t="str">
        <f aca="false">'6.3 Inputs'!F66</f>
        <v>N</v>
      </c>
      <c r="G7" s="33" t="str">
        <f aca="false">'6.3 Inputs'!G66</f>
        <v>N</v>
      </c>
      <c r="H7" s="33" t="str">
        <f aca="false">'6.3 Inputs'!H66</f>
        <v>N</v>
      </c>
      <c r="I7" s="61"/>
    </row>
    <row r="8" customFormat="false" ht="21.75" hidden="false" customHeight="true" outlineLevel="0" collapsed="false">
      <c r="B8" s="61"/>
      <c r="C8" s="61"/>
      <c r="D8" s="61"/>
      <c r="E8" s="61"/>
      <c r="F8" s="61"/>
      <c r="G8" s="61"/>
      <c r="H8" s="61"/>
      <c r="I8" s="61"/>
    </row>
    <row r="9" customFormat="false" ht="21.75" hidden="false" customHeight="true" outlineLevel="0" collapsed="false">
      <c r="B9" s="68" t="s">
        <v>324</v>
      </c>
      <c r="C9" s="68"/>
      <c r="D9" s="68"/>
      <c r="E9" s="68"/>
      <c r="F9" s="68"/>
      <c r="G9" s="68"/>
      <c r="H9" s="68"/>
      <c r="I9" s="68"/>
    </row>
    <row r="10" customFormat="false" ht="15" hidden="false" customHeight="true" outlineLevel="0" collapsed="false">
      <c r="B10" s="69" t="s">
        <v>325</v>
      </c>
      <c r="C10" s="70" t="n">
        <f aca="false">IF('6.3 Inputs'!$C$66="Y",'6.3.2 Rev-NOI'!C33,"—")</f>
        <v>4762482.9525</v>
      </c>
      <c r="D10" s="70" t="n">
        <f aca="false">IF('6.3 Inputs'!$D$66="Y",'6.3.2 Rev-NOI'!D33,"—")</f>
        <v>6066670.5918</v>
      </c>
      <c r="E10" s="70" t="n">
        <f aca="false">IF('6.3 Inputs'!$E$66="Y",'6.3.2 Rev-NOI'!E33,"—")</f>
        <v>3113931.16125</v>
      </c>
      <c r="F10" s="35" t="str">
        <f aca="false">IF('6.3 Inputs'!$F$66="Y",'6.3.2 Rev-NOI'!F33,"—")</f>
        <v>—</v>
      </c>
      <c r="G10" s="35" t="str">
        <f aca="false">IF('6.3 Inputs'!$G$66="Y",'6.3.2 Rev-NOI'!G33,"—")</f>
        <v>—</v>
      </c>
      <c r="H10" s="35" t="str">
        <f aca="false">IF('6.3 Inputs'!$H$66="Y",'6.3.2 Rev-NOI'!H33,"—")</f>
        <v>—</v>
      </c>
      <c r="I10" s="34" t="s">
        <v>326</v>
      </c>
    </row>
    <row r="11" customFormat="false" ht="21.75" hidden="false" customHeight="true" outlineLevel="0" collapsed="false">
      <c r="B11" s="69" t="s">
        <v>174</v>
      </c>
      <c r="C11" s="73" t="n">
        <f aca="false">IF('6.3 Inputs'!$C$66="Y",'6.3 Inputs'!$C$28,"—")</f>
        <v>0.065</v>
      </c>
      <c r="D11" s="73" t="n">
        <f aca="false">IF('6.3 Inputs'!$D$66="Y",'6.3 Inputs'!$C$28,"—")</f>
        <v>0.065</v>
      </c>
      <c r="E11" s="73" t="n">
        <f aca="false">IF('6.3 Inputs'!$E$66="Y",'6.3 Inputs'!$C$28,"—")</f>
        <v>0.065</v>
      </c>
      <c r="F11" s="73" t="str">
        <f aca="false">IF('6.3 Inputs'!$F$66="Y",'6.3 Inputs'!$C$28,"—")</f>
        <v>—</v>
      </c>
      <c r="G11" s="73" t="str">
        <f aca="false">IF('6.3 Inputs'!$G$66="Y",'6.3 Inputs'!$C$28,"—")</f>
        <v>—</v>
      </c>
      <c r="H11" s="73" t="str">
        <f aca="false">IF('6.3 Inputs'!$H$66="Y",'6.3 Inputs'!$C$28,"—")</f>
        <v>—</v>
      </c>
      <c r="I11" s="34" t="s">
        <v>327</v>
      </c>
    </row>
    <row r="12" customFormat="false" ht="21.75" hidden="false" customHeight="true" outlineLevel="0" collapsed="false">
      <c r="B12" s="69" t="s">
        <v>328</v>
      </c>
      <c r="C12" s="35" t="n">
        <f aca="false">IF('6.3 Inputs'!$C$66="Y",'6.3 Inputs'!$C$53,"—")</f>
        <v>42000000</v>
      </c>
      <c r="D12" s="35" t="n">
        <f aca="false">IF('6.3 Inputs'!$D$66="Y",'6.3 Inputs'!$C$53,"—")</f>
        <v>42000000</v>
      </c>
      <c r="E12" s="35" t="n">
        <f aca="false">IF('6.3 Inputs'!$E$66="Y",'6.3 Inputs'!$C$53,"—")</f>
        <v>42000000</v>
      </c>
      <c r="F12" s="35" t="str">
        <f aca="false">IF('6.3 Inputs'!$F$66="Y",'6.3 Inputs'!$C$53,"—")</f>
        <v>—</v>
      </c>
      <c r="G12" s="35" t="str">
        <f aca="false">IF('6.3 Inputs'!$G$66="Y",'6.3 Inputs'!$C$53,"—")</f>
        <v>—</v>
      </c>
      <c r="H12" s="35" t="str">
        <f aca="false">IF('6.3 Inputs'!$H$66="Y",'6.3 Inputs'!$C$53,"—")</f>
        <v>—</v>
      </c>
      <c r="I12" s="34" t="s">
        <v>329</v>
      </c>
    </row>
    <row r="13" customFormat="false" ht="15" hidden="false" customHeight="true" outlineLevel="0" collapsed="false">
      <c r="B13" s="61"/>
      <c r="F13" s="61"/>
      <c r="G13" s="61"/>
      <c r="H13" s="61"/>
      <c r="I13" s="61"/>
    </row>
    <row r="14" customFormat="false" ht="21.75" hidden="false" customHeight="true" outlineLevel="0" collapsed="false">
      <c r="B14" s="68" t="s">
        <v>330</v>
      </c>
      <c r="C14" s="68"/>
      <c r="D14" s="68"/>
      <c r="E14" s="68"/>
      <c r="F14" s="68"/>
      <c r="G14" s="68"/>
      <c r="H14" s="68"/>
      <c r="I14" s="68"/>
    </row>
    <row r="15" customFormat="false" ht="21.75" hidden="false" customHeight="true" outlineLevel="0" collapsed="false">
      <c r="B15" s="49" t="s">
        <v>55</v>
      </c>
      <c r="C15" s="65" t="n">
        <f aca="false">IF('6.3 Inputs'!$C$66="Y",C10/C11,"—")</f>
        <v>73268968.5</v>
      </c>
      <c r="D15" s="65" t="n">
        <f aca="false">IF('6.3 Inputs'!$D$66="Y",D10/D11,"—")</f>
        <v>93333393.72</v>
      </c>
      <c r="E15" s="65" t="n">
        <f aca="false">IF('6.3 Inputs'!$E$66="Y",E10/E11,"—")</f>
        <v>47906633.25</v>
      </c>
      <c r="F15" s="65" t="str">
        <f aca="false">IF('6.3 Inputs'!$F$66="Y",F10/F11,"—")</f>
        <v>—</v>
      </c>
      <c r="G15" s="65" t="str">
        <f aca="false">IF('6.3 Inputs'!$G$66="Y",G10/G11,"—")</f>
        <v>—</v>
      </c>
      <c r="H15" s="65" t="str">
        <f aca="false">IF('6.3 Inputs'!$H$66="Y",H10/H11,"—")</f>
        <v>—</v>
      </c>
      <c r="I15" s="34" t="s">
        <v>331</v>
      </c>
    </row>
    <row r="16" customFormat="false" ht="15" hidden="false" customHeight="true" outlineLevel="0" collapsed="false">
      <c r="B16" s="49" t="s">
        <v>332</v>
      </c>
      <c r="C16" s="71" t="n">
        <f aca="false">IF('6.3 Inputs'!$C$66="Y",C15-C12,"—")</f>
        <v>31268968.5</v>
      </c>
      <c r="D16" s="71" t="n">
        <f aca="false">IF('6.3 Inputs'!$D$66="Y",D15-D12,"—")</f>
        <v>51333393.72</v>
      </c>
      <c r="E16" s="71" t="n">
        <f aca="false">IF('6.3 Inputs'!$E$66="Y",E15-E12,"—")</f>
        <v>5906633.25</v>
      </c>
      <c r="F16" s="71" t="str">
        <f aca="false">IF('6.3 Inputs'!$F$66="Y",F15-F12,"—")</f>
        <v>—</v>
      </c>
      <c r="G16" s="71" t="str">
        <f aca="false">IF('6.3 Inputs'!$G$66="Y",G15-G12,"—")</f>
        <v>—</v>
      </c>
      <c r="H16" s="71" t="str">
        <f aca="false">IF('6.3 Inputs'!$H$66="Y",H15-H12,"—")</f>
        <v>—</v>
      </c>
      <c r="I16" s="34" t="s">
        <v>333</v>
      </c>
    </row>
    <row r="17" customFormat="false" ht="15" hidden="false" customHeight="true" outlineLevel="0" collapsed="false">
      <c r="B17" s="61"/>
      <c r="C17" s="61"/>
      <c r="D17" s="61"/>
      <c r="E17" s="61"/>
      <c r="F17" s="61"/>
      <c r="G17" s="61"/>
      <c r="H17" s="61"/>
      <c r="I17" s="61"/>
    </row>
    <row r="18" customFormat="false" ht="21.75" hidden="false" customHeight="true" outlineLevel="0" collapsed="false">
      <c r="B18" s="68" t="s">
        <v>334</v>
      </c>
      <c r="C18" s="68"/>
      <c r="D18" s="68"/>
      <c r="E18" s="68"/>
      <c r="F18" s="68"/>
      <c r="G18" s="68"/>
      <c r="H18" s="68"/>
      <c r="I18" s="68"/>
    </row>
    <row r="19" customFormat="false" ht="24" hidden="false" customHeight="true" outlineLevel="0" collapsed="false">
      <c r="B19" s="69" t="s">
        <v>335</v>
      </c>
      <c r="C19" s="73" t="n">
        <f aca="false">IF('6.3 Inputs'!$C$66="Y",C10/C12,"—")</f>
        <v>0.11339245125</v>
      </c>
      <c r="D19" s="73" t="n">
        <f aca="false">IF('6.3 Inputs'!$D$66="Y",D10/D12,"—")</f>
        <v>0.1444445379</v>
      </c>
      <c r="E19" s="73" t="n">
        <f aca="false">IF('6.3 Inputs'!$E$66="Y",E10/E12,"—")</f>
        <v>0.074141218125</v>
      </c>
      <c r="F19" s="73" t="str">
        <f aca="false">IF('6.3 Inputs'!$F$66="Y",F10/F12,"—")</f>
        <v>—</v>
      </c>
      <c r="G19" s="73" t="str">
        <f aca="false">IF('6.3 Inputs'!$G$66="Y",G10/G12,"—")</f>
        <v>—</v>
      </c>
      <c r="H19" s="73" t="str">
        <f aca="false">IF('6.3 Inputs'!$H$66="Y",H10/H12,"—")</f>
        <v>—</v>
      </c>
      <c r="I19" s="34" t="s">
        <v>336</v>
      </c>
    </row>
    <row r="20" customFormat="false" ht="24" hidden="false" customHeight="true" outlineLevel="0" collapsed="false">
      <c r="B20" s="69" t="s">
        <v>56</v>
      </c>
      <c r="C20" s="73" t="n">
        <f aca="false">IF('6.3 Inputs'!$C$66="Y",C19-C11,"—")</f>
        <v>0.04839245125</v>
      </c>
      <c r="D20" s="73" t="n">
        <f aca="false">IF('6.3 Inputs'!$D$66="Y",D19-D11,"—")</f>
        <v>0.0794445379</v>
      </c>
      <c r="E20" s="73" t="n">
        <f aca="false">IF('6.3 Inputs'!$E$66="Y",E19-E11,"—")</f>
        <v>0.00914121812499999</v>
      </c>
      <c r="F20" s="73" t="str">
        <f aca="false">IF('6.3 Inputs'!$F$66="Y",F19-F11,"—")</f>
        <v>—</v>
      </c>
      <c r="G20" s="73" t="str">
        <f aca="false">IF('6.3 Inputs'!$G$66="Y",G19-G11,"—")</f>
        <v>—</v>
      </c>
      <c r="H20" s="73" t="str">
        <f aca="false">IF('6.3 Inputs'!$H$66="Y",H19-H11,"—")</f>
        <v>—</v>
      </c>
      <c r="I20" s="34" t="s">
        <v>337</v>
      </c>
    </row>
    <row r="21" customFormat="false" ht="24" hidden="false" customHeight="true" outlineLevel="0" collapsed="false">
      <c r="B21" s="61"/>
      <c r="C21" s="61"/>
      <c r="D21" s="61"/>
      <c r="E21" s="61"/>
      <c r="F21" s="61"/>
      <c r="G21" s="61"/>
      <c r="H21" s="61"/>
      <c r="I21" s="61"/>
    </row>
    <row r="22" customFormat="false" ht="15" hidden="false" customHeight="true" outlineLevel="0" collapsed="false">
      <c r="B22" s="68" t="s">
        <v>338</v>
      </c>
      <c r="C22" s="68"/>
      <c r="D22" s="68"/>
      <c r="E22" s="68"/>
      <c r="F22" s="68"/>
      <c r="G22" s="68"/>
      <c r="H22" s="68"/>
      <c r="I22" s="68"/>
    </row>
    <row r="23" customFormat="false" ht="15" hidden="false" customHeight="true" outlineLevel="0" collapsed="false">
      <c r="B23" s="69" t="s">
        <v>339</v>
      </c>
      <c r="C23" s="74" t="str">
        <f aca="false">IF('6.3 Inputs'!$C$66="Y",IF(C15&gt;C12,"PASS","FAIL"),"—")</f>
        <v>PASS</v>
      </c>
      <c r="D23" s="74" t="str">
        <f aca="false">IF('6.3 Inputs'!$D$66="Y",IF(D15&gt;D12,"PASS","FAIL"),"—")</f>
        <v>PASS</v>
      </c>
      <c r="E23" s="74" t="str">
        <f aca="false">IF('6.3 Inputs'!$E$66="Y",IF(E15&gt;E12,"PASS","FAIL"),"—")</f>
        <v>PASS</v>
      </c>
      <c r="F23" s="74" t="str">
        <f aca="false">IF('6.3 Inputs'!$F$66="Y",IF(F15&gt;F12,"PASS","FAIL"),"—")</f>
        <v>—</v>
      </c>
      <c r="G23" s="74" t="str">
        <f aca="false">IF('6.3 Inputs'!$G$66="Y",IF(G15&gt;G12,"PASS","FAIL"),"—")</f>
        <v>—</v>
      </c>
      <c r="H23" s="74" t="str">
        <f aca="false">IF('6.3 Inputs'!$H$66="Y",IF(H15&gt;H12,"PASS","FAIL"),"—")</f>
        <v>—</v>
      </c>
      <c r="I23" s="34" t="s">
        <v>340</v>
      </c>
    </row>
    <row r="24" customFormat="false" ht="15" hidden="false" customHeight="true" outlineLevel="0" collapsed="false">
      <c r="B24" s="69" t="s">
        <v>341</v>
      </c>
      <c r="C24" s="74" t="str">
        <f aca="false">IF('6.3 Inputs'!$C$66="Y","see 6.3.3b DCF","—")</f>
        <v>see 6.3.3b DCF</v>
      </c>
      <c r="D24" s="74" t="str">
        <f aca="false">IF('6.3 Inputs'!$D$66="Y","see 6.3.3b DCF","—")</f>
        <v>see 6.3.3b DCF</v>
      </c>
      <c r="E24" s="74" t="str">
        <f aca="false">IF('6.3 Inputs'!$E$66="Y","see 6.3.3b DCF","—")</f>
        <v>see 6.3.3b DCF</v>
      </c>
      <c r="F24" s="74" t="str">
        <f aca="false">IF('6.3 Inputs'!$F$66="Y","see 6.3.3b DCF","—")</f>
        <v>—</v>
      </c>
      <c r="G24" s="74" t="str">
        <f aca="false">IF('6.3 Inputs'!$G$66="Y","see 6.3.3b DCF","—")</f>
        <v>—</v>
      </c>
      <c r="H24" s="74" t="str">
        <f aca="false">IF('6.3 Inputs'!$H$66="Y","see 6.3.3b DCF","—")</f>
        <v>—</v>
      </c>
      <c r="I24" s="34" t="s">
        <v>342</v>
      </c>
    </row>
    <row r="25" customFormat="false" ht="15" hidden="false" customHeight="true" outlineLevel="0" collapsed="false">
      <c r="B25" s="69" t="s">
        <v>343</v>
      </c>
      <c r="C25" s="74" t="str">
        <f aca="false">IF('6.3 Inputs'!$C$66="Y",IF(C20&gt;=0.01,"PASS","FAIL"),"—")</f>
        <v>PASS</v>
      </c>
      <c r="D25" s="74" t="str">
        <f aca="false">IF('6.3 Inputs'!$D$66="Y",IF(D20&gt;=0.01,"PASS","FAIL"),"—")</f>
        <v>PASS</v>
      </c>
      <c r="E25" s="74" t="str">
        <f aca="false">IF('6.3 Inputs'!$E$66="Y",IF(E20&gt;=0.01,"PASS","FAIL"),"—")</f>
        <v>FAIL</v>
      </c>
      <c r="F25" s="74" t="str">
        <f aca="false">IF('6.3 Inputs'!$F$66="Y",IF(F20&gt;=0.01,"PASS","FAIL"),"—")</f>
        <v>—</v>
      </c>
      <c r="G25" s="74" t="str">
        <f aca="false">IF('6.3 Inputs'!$G$66="Y",IF(G20&gt;=0.01,"PASS","FAIL"),"—")</f>
        <v>—</v>
      </c>
      <c r="H25" s="74" t="str">
        <f aca="false">IF('6.3 Inputs'!$H$66="Y",IF(H20&gt;=0.01,"PASS","FAIL"),"—")</f>
        <v>—</v>
      </c>
      <c r="I25" s="34" t="s">
        <v>344</v>
      </c>
    </row>
    <row r="28" customFormat="false" ht="15" hidden="false" customHeight="true" outlineLevel="0" collapsed="false">
      <c r="B28" s="37" t="s">
        <v>345</v>
      </c>
      <c r="C28" s="37"/>
      <c r="D28" s="37"/>
      <c r="E28" s="37"/>
      <c r="F28" s="37"/>
      <c r="G28" s="37"/>
      <c r="H28" s="37"/>
      <c r="I28" s="37"/>
    </row>
  </sheetData>
  <mergeCells count="7">
    <mergeCell ref="B2:I2"/>
    <mergeCell ref="B3:E3"/>
    <mergeCell ref="B9:I9"/>
    <mergeCell ref="B14:I14"/>
    <mergeCell ref="B18:I18"/>
    <mergeCell ref="B22:I22"/>
    <mergeCell ref="B28:I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0808D"/>
    <pageSetUpPr fitToPage="false"/>
  </sheetPr>
  <dimension ref="B1:Q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3" min="3" style="1" width="40"/>
    <col collapsed="false" customWidth="true" hidden="false" outlineLevel="0" max="16" min="4" style="1" width="10"/>
    <col collapsed="false" customWidth="true" hidden="false" outlineLevel="0" max="17" min="17" style="1" width="14"/>
  </cols>
  <sheetData>
    <row r="1" customFormat="false" ht="15" hidden="false" customHeight="false" outlineLevel="0" collapsed="false"/>
    <row r="2" customFormat="false" ht="66" hidden="false" customHeight="true" outlineLevel="0" collapsed="false">
      <c r="B2" s="12" t="s">
        <v>346</v>
      </c>
    </row>
    <row r="3" customFormat="false" ht="15" hidden="false" customHeight="true" outlineLevel="0" collapsed="false">
      <c r="B3" s="13" t="s">
        <v>347</v>
      </c>
      <c r="C3" s="13"/>
      <c r="D3" s="13"/>
      <c r="E3" s="13"/>
      <c r="F3" s="13"/>
      <c r="G3" s="13"/>
      <c r="H3" s="13"/>
      <c r="I3" s="13"/>
      <c r="J3" s="13"/>
      <c r="K3" s="13"/>
      <c r="L3" s="13"/>
      <c r="M3" s="13"/>
      <c r="N3" s="13"/>
      <c r="O3" s="13"/>
      <c r="P3" s="13"/>
      <c r="Q3" s="13"/>
    </row>
    <row r="4" customFormat="false" ht="15" hidden="false" customHeight="false" outlineLevel="0" collapsed="false"/>
    <row r="5" customFormat="false" ht="30" hidden="false" customHeight="true" outlineLevel="0" collapsed="false">
      <c r="B5" s="21" t="s">
        <v>288</v>
      </c>
      <c r="C5" s="21" t="s">
        <v>348</v>
      </c>
      <c r="D5" s="21" t="s">
        <v>349</v>
      </c>
      <c r="E5" s="21" t="s">
        <v>350</v>
      </c>
      <c r="F5" s="21" t="s">
        <v>351</v>
      </c>
      <c r="G5" s="21" t="s">
        <v>352</v>
      </c>
      <c r="H5" s="21" t="s">
        <v>353</v>
      </c>
      <c r="I5" s="21" t="s">
        <v>354</v>
      </c>
      <c r="J5" s="21" t="s">
        <v>355</v>
      </c>
      <c r="K5" s="21" t="s">
        <v>356</v>
      </c>
      <c r="L5" s="21" t="s">
        <v>357</v>
      </c>
      <c r="M5" s="21" t="s">
        <v>358</v>
      </c>
      <c r="N5" s="21" t="s">
        <v>359</v>
      </c>
      <c r="O5" s="21" t="s">
        <v>360</v>
      </c>
      <c r="P5" s="21" t="s">
        <v>361</v>
      </c>
      <c r="Q5" s="21" t="s">
        <v>362</v>
      </c>
    </row>
    <row r="6" customFormat="false" ht="15" hidden="false" customHeight="true" outlineLevel="0" collapsed="false">
      <c r="B6" s="38" t="s">
        <v>363</v>
      </c>
      <c r="C6" s="38"/>
      <c r="D6" s="38"/>
      <c r="E6" s="38"/>
      <c r="F6" s="38"/>
      <c r="G6" s="38"/>
      <c r="H6" s="38"/>
      <c r="I6" s="38"/>
      <c r="J6" s="38"/>
      <c r="K6" s="38"/>
      <c r="L6" s="38"/>
      <c r="M6" s="38"/>
      <c r="N6" s="38"/>
      <c r="O6" s="38"/>
      <c r="P6" s="38"/>
      <c r="Q6" s="38"/>
    </row>
    <row r="7" customFormat="false" ht="15" hidden="false" customHeight="true" outlineLevel="0" collapsed="false">
      <c r="B7" s="4" t="s">
        <v>364</v>
      </c>
      <c r="C7" s="40" t="s">
        <v>365</v>
      </c>
      <c r="D7" s="75" t="n">
        <f aca="false">-'6.3 Inputs'!$C$46*'6.3 Inputs'!$C$53</f>
        <v>-12600000</v>
      </c>
      <c r="E7" s="75" t="n">
        <f aca="false">-'6.3 Inputs'!$C$47*'6.3 Inputs'!$C$53</f>
        <v>-16800000</v>
      </c>
      <c r="F7" s="75" t="n">
        <f aca="false">-'6.3 Inputs'!$C$48*'6.3 Inputs'!$C$53</f>
        <v>-12600000</v>
      </c>
      <c r="G7" s="75" t="n">
        <v>0</v>
      </c>
      <c r="H7" s="75" t="n">
        <v>0</v>
      </c>
      <c r="I7" s="75" t="n">
        <v>0</v>
      </c>
      <c r="J7" s="75" t="n">
        <v>0</v>
      </c>
      <c r="K7" s="75" t="n">
        <v>0</v>
      </c>
      <c r="L7" s="75" t="n">
        <v>0</v>
      </c>
      <c r="M7" s="75" t="n">
        <v>0</v>
      </c>
      <c r="N7" s="75" t="n">
        <v>0</v>
      </c>
      <c r="O7" s="75" t="n">
        <v>0</v>
      </c>
      <c r="P7" s="75" t="n">
        <v>0</v>
      </c>
    </row>
    <row r="8" customFormat="false" ht="15" hidden="false" customHeight="true" outlineLevel="0" collapsed="false">
      <c r="B8" s="4" t="s">
        <v>366</v>
      </c>
      <c r="C8" s="40" t="s">
        <v>367</v>
      </c>
      <c r="D8" s="75" t="n">
        <v>0</v>
      </c>
      <c r="E8" s="75" t="n">
        <v>0</v>
      </c>
      <c r="F8" s="75" t="n">
        <f aca="false">-'6.3 Inputs'!$C$54</f>
        <v>-2730000</v>
      </c>
      <c r="G8" s="75" t="n">
        <v>0</v>
      </c>
      <c r="H8" s="75" t="n">
        <v>0</v>
      </c>
      <c r="I8" s="75" t="n">
        <v>0</v>
      </c>
      <c r="J8" s="75" t="n">
        <v>0</v>
      </c>
      <c r="K8" s="75" t="n">
        <v>0</v>
      </c>
      <c r="L8" s="75" t="n">
        <v>0</v>
      </c>
      <c r="M8" s="75" t="n">
        <v>0</v>
      </c>
      <c r="N8" s="75" t="n">
        <v>0</v>
      </c>
      <c r="O8" s="75" t="n">
        <v>0</v>
      </c>
      <c r="P8" s="75" t="n">
        <v>0</v>
      </c>
    </row>
    <row r="9" customFormat="false" ht="23.25" hidden="false" customHeight="true" outlineLevel="0" collapsed="false">
      <c r="B9" s="4" t="s">
        <v>368</v>
      </c>
      <c r="C9" s="40" t="s">
        <v>369</v>
      </c>
      <c r="D9" s="75" t="n">
        <v>0</v>
      </c>
      <c r="E9" s="75" t="n">
        <v>0</v>
      </c>
      <c r="F9" s="75" t="n">
        <v>0</v>
      </c>
      <c r="G9" s="75" t="n">
        <f aca="false">'6.3.2 Rev-NOI'!$C$33*'6.3 Inputs'!$C$43</f>
        <v>2381241.47625</v>
      </c>
      <c r="H9" s="75" t="n">
        <f aca="false">'6.3.2 Rev-NOI'!$C$33*'6.3 Inputs'!$C$44</f>
        <v>3428987.7258</v>
      </c>
      <c r="I9" s="75" t="n">
        <f aca="false">'6.3.2 Rev-NOI'!$C$33*'6.3 Inputs'!$C$45</f>
        <v>4286234.65725</v>
      </c>
      <c r="J9" s="75" t="n">
        <f aca="false">'6.3.2 Rev-NOI'!$C$33</f>
        <v>4762482.9525</v>
      </c>
      <c r="K9" s="75" t="n">
        <f aca="false">'6.3.2 Rev-NOI'!$C$33*(1+'6.3 Inputs'!$C$30)^2</f>
        <v>5052518.16430725</v>
      </c>
      <c r="L9" s="75" t="n">
        <f aca="false">'6.3.2 Rev-NOI'!$C$33*(1+'6.3 Inputs'!$C$30)^3</f>
        <v>5204093.70923647</v>
      </c>
      <c r="M9" s="75" t="n">
        <f aca="false">'6.3.2 Rev-NOI'!$C$33*(1+'6.3 Inputs'!$C$30)^4</f>
        <v>5360216.52051356</v>
      </c>
      <c r="N9" s="75" t="n">
        <f aca="false">'6.3.2 Rev-NOI'!$C$33*(1+'6.3 Inputs'!$C$30)^5</f>
        <v>5521023.01612897</v>
      </c>
      <c r="O9" s="75" t="n">
        <f aca="false">'6.3.2 Rev-NOI'!$C$33*(1+'6.3 Inputs'!$C$30)^6</f>
        <v>5686653.70661284</v>
      </c>
      <c r="P9" s="75" t="n">
        <f aca="false">'6.3.2 Rev-NOI'!$C$33*(1+'6.3 Inputs'!$C$30)^7</f>
        <v>5857253.31781123</v>
      </c>
    </row>
    <row r="10" customFormat="false" ht="23.25" hidden="false" customHeight="true" outlineLevel="0" collapsed="false">
      <c r="B10" s="4" t="s">
        <v>370</v>
      </c>
      <c r="C10" s="40" t="s">
        <v>371</v>
      </c>
      <c r="D10" s="75" t="n">
        <v>0</v>
      </c>
      <c r="E10" s="75" t="n">
        <v>0</v>
      </c>
      <c r="F10" s="75" t="n">
        <v>0</v>
      </c>
      <c r="G10" s="75" t="n">
        <v>0</v>
      </c>
      <c r="H10" s="75" t="n">
        <v>0</v>
      </c>
      <c r="I10" s="75" t="n">
        <v>0</v>
      </c>
      <c r="J10" s="75" t="n">
        <v>0</v>
      </c>
      <c r="K10" s="75" t="n">
        <v>0</v>
      </c>
      <c r="L10" s="75" t="n">
        <v>0</v>
      </c>
      <c r="M10" s="75" t="n">
        <v>0</v>
      </c>
      <c r="N10" s="75" t="n">
        <v>0</v>
      </c>
      <c r="O10" s="75" t="n">
        <v>0</v>
      </c>
      <c r="P10" s="75" t="n">
        <f aca="false">P9*(1+'6.3 Inputs'!$C$30)/'6.3 Inputs'!$C$29</f>
        <v>92814937.1899317</v>
      </c>
    </row>
    <row r="11" customFormat="false" ht="15" hidden="false" customHeight="true" outlineLevel="0" collapsed="false">
      <c r="B11" s="5" t="s">
        <v>372</v>
      </c>
      <c r="C11" s="40" t="s">
        <v>373</v>
      </c>
      <c r="D11" s="76" t="n">
        <f aca="false">SUM(D7:D10)</f>
        <v>-12600000</v>
      </c>
      <c r="E11" s="76" t="n">
        <f aca="false">SUM(E7:E10)</f>
        <v>-16800000</v>
      </c>
      <c r="F11" s="76" t="n">
        <f aca="false">SUM(F7:F10)</f>
        <v>-15330000</v>
      </c>
      <c r="G11" s="76" t="n">
        <f aca="false">SUM(G7:G10)</f>
        <v>2381241.47625</v>
      </c>
      <c r="H11" s="76" t="n">
        <f aca="false">SUM(H7:H10)</f>
        <v>3428987.7258</v>
      </c>
      <c r="I11" s="76" t="n">
        <f aca="false">SUM(I7:I10)</f>
        <v>4286234.65725</v>
      </c>
      <c r="J11" s="76" t="n">
        <f aca="false">SUM(J7:J10)</f>
        <v>4762482.9525</v>
      </c>
      <c r="K11" s="76" t="n">
        <f aca="false">SUM(K7:K10)</f>
        <v>5052518.16430725</v>
      </c>
      <c r="L11" s="76" t="n">
        <f aca="false">SUM(L7:L10)</f>
        <v>5204093.70923647</v>
      </c>
      <c r="M11" s="76" t="n">
        <f aca="false">SUM(M7:M10)</f>
        <v>5360216.52051356</v>
      </c>
      <c r="N11" s="76" t="n">
        <f aca="false">SUM(N7:N10)</f>
        <v>5521023.01612897</v>
      </c>
      <c r="O11" s="76" t="n">
        <f aca="false">SUM(O7:O10)</f>
        <v>5686653.70661284</v>
      </c>
      <c r="P11" s="76" t="n">
        <f aca="false">SUM(P7:P10)</f>
        <v>98672190.5077429</v>
      </c>
    </row>
    <row r="12" customFormat="false" ht="15" hidden="false" customHeight="false" outlineLevel="0" collapsed="false"/>
    <row r="13" customFormat="false" ht="15" hidden="false" customHeight="true" outlineLevel="0" collapsed="false">
      <c r="B13" s="38" t="s">
        <v>374</v>
      </c>
      <c r="C13" s="38"/>
      <c r="D13" s="38"/>
      <c r="E13" s="38"/>
      <c r="F13" s="38"/>
      <c r="G13" s="38"/>
      <c r="H13" s="38"/>
      <c r="I13" s="38"/>
      <c r="J13" s="38"/>
      <c r="K13" s="38"/>
      <c r="L13" s="38"/>
      <c r="M13" s="38"/>
      <c r="N13" s="38"/>
      <c r="O13" s="38"/>
      <c r="P13" s="38"/>
      <c r="Q13" s="38"/>
    </row>
    <row r="14" customFormat="false" ht="15" hidden="false" customHeight="true" outlineLevel="0" collapsed="false">
      <c r="B14" s="4" t="s">
        <v>364</v>
      </c>
      <c r="C14" s="40" t="s">
        <v>375</v>
      </c>
      <c r="D14" s="75" t="n">
        <f aca="false">-'6.3 Inputs'!$C$46*'6.3 Inputs'!$C$53</f>
        <v>-12600000</v>
      </c>
      <c r="E14" s="75" t="n">
        <f aca="false">-'6.3 Inputs'!$C$47*'6.3 Inputs'!$C$53</f>
        <v>-16800000</v>
      </c>
      <c r="F14" s="75" t="n">
        <f aca="false">-'6.3 Inputs'!$C$48*'6.3 Inputs'!$C$53</f>
        <v>-12600000</v>
      </c>
      <c r="G14" s="75" t="n">
        <v>0</v>
      </c>
      <c r="H14" s="75" t="n">
        <v>0</v>
      </c>
      <c r="I14" s="75" t="n">
        <v>0</v>
      </c>
      <c r="J14" s="75" t="n">
        <v>0</v>
      </c>
      <c r="K14" s="75" t="n">
        <v>0</v>
      </c>
      <c r="L14" s="75" t="n">
        <v>0</v>
      </c>
      <c r="M14" s="75" t="n">
        <v>0</v>
      </c>
      <c r="N14" s="75" t="n">
        <v>0</v>
      </c>
      <c r="O14" s="75" t="n">
        <v>0</v>
      </c>
      <c r="P14" s="75" t="n">
        <v>0</v>
      </c>
    </row>
    <row r="15" customFormat="false" ht="15" hidden="false" customHeight="true" outlineLevel="0" collapsed="false">
      <c r="B15" s="4" t="s">
        <v>366</v>
      </c>
      <c r="C15" s="40" t="s">
        <v>376</v>
      </c>
      <c r="D15" s="75" t="n">
        <v>0</v>
      </c>
      <c r="E15" s="75" t="n">
        <v>0</v>
      </c>
      <c r="F15" s="75" t="n">
        <f aca="false">-'6.3 Inputs'!$C$54</f>
        <v>-2730000</v>
      </c>
      <c r="G15" s="75" t="n">
        <v>0</v>
      </c>
      <c r="H15" s="75" t="n">
        <v>0</v>
      </c>
      <c r="I15" s="75" t="n">
        <v>0</v>
      </c>
      <c r="J15" s="75" t="n">
        <v>0</v>
      </c>
      <c r="K15" s="75" t="n">
        <v>0</v>
      </c>
      <c r="L15" s="75" t="n">
        <v>0</v>
      </c>
      <c r="M15" s="75" t="n">
        <v>0</v>
      </c>
      <c r="N15" s="75" t="n">
        <v>0</v>
      </c>
      <c r="O15" s="75" t="n">
        <v>0</v>
      </c>
      <c r="P15" s="75" t="n">
        <v>0</v>
      </c>
    </row>
    <row r="16" customFormat="false" ht="15" hidden="false" customHeight="true" outlineLevel="0" collapsed="false">
      <c r="B16" s="4" t="s">
        <v>377</v>
      </c>
      <c r="C16" s="40" t="s">
        <v>378</v>
      </c>
      <c r="D16" s="75" t="n">
        <v>0</v>
      </c>
      <c r="E16" s="75" t="n">
        <v>0</v>
      </c>
      <c r="F16" s="75" t="n">
        <v>0</v>
      </c>
      <c r="G16" s="75" t="n">
        <f aca="false">'6.3.2 Rev-NOI'!$E$33*'6.3 Inputs'!$C$43</f>
        <v>1556965.580625</v>
      </c>
      <c r="H16" s="75" t="n">
        <f aca="false">'6.3.2 Rev-NOI'!$E$33*'6.3 Inputs'!$C$44</f>
        <v>2242030.4361</v>
      </c>
      <c r="I16" s="75" t="n">
        <f aca="false">'6.3.2 Rev-NOI'!$E$33*'6.3 Inputs'!$C$45</f>
        <v>2802538.045125</v>
      </c>
      <c r="J16" s="75" t="n">
        <f aca="false">'6.3.2 Rev-NOI'!$E$33</f>
        <v>3113931.16125</v>
      </c>
      <c r="K16" s="75" t="n">
        <f aca="false">'6.3.2 Rev-NOI'!$E$33*(1+'6.3 Inputs'!$C$30)^2</f>
        <v>3303569.56897012</v>
      </c>
      <c r="L16" s="75" t="n">
        <f aca="false">'6.3.2 Rev-NOI'!$E$33*(1+'6.3 Inputs'!$C$30)^3</f>
        <v>3402676.65603923</v>
      </c>
      <c r="M16" s="75" t="n">
        <f aca="false">'6.3.2 Rev-NOI'!$E$33*(1+'6.3 Inputs'!$C$30)^4</f>
        <v>3504756.95572041</v>
      </c>
      <c r="N16" s="75" t="n">
        <f aca="false">'6.3.2 Rev-NOI'!$E$33*(1+'6.3 Inputs'!$C$30)^5</f>
        <v>3609899.66439202</v>
      </c>
      <c r="O16" s="75" t="n">
        <f aca="false">'6.3.2 Rev-NOI'!$E$33*(1+'6.3 Inputs'!$C$30)^6</f>
        <v>3718196.65432378</v>
      </c>
      <c r="P16" s="75" t="n">
        <f aca="false">'6.3.2 Rev-NOI'!$E$33*(1+'6.3 Inputs'!$C$30)^7</f>
        <v>3829742.55395349</v>
      </c>
    </row>
    <row r="17" customFormat="false" ht="15" hidden="false" customHeight="true" outlineLevel="0" collapsed="false">
      <c r="B17" s="4" t="s">
        <v>370</v>
      </c>
      <c r="C17" s="40" t="s">
        <v>379</v>
      </c>
      <c r="D17" s="75" t="n">
        <v>0</v>
      </c>
      <c r="E17" s="75" t="n">
        <v>0</v>
      </c>
      <c r="F17" s="75" t="n">
        <v>0</v>
      </c>
      <c r="G17" s="75" t="n">
        <v>0</v>
      </c>
      <c r="H17" s="75" t="n">
        <v>0</v>
      </c>
      <c r="I17" s="75" t="n">
        <v>0</v>
      </c>
      <c r="J17" s="75" t="n">
        <v>0</v>
      </c>
      <c r="K17" s="75" t="n">
        <v>0</v>
      </c>
      <c r="L17" s="75" t="n">
        <v>0</v>
      </c>
      <c r="M17" s="75" t="n">
        <v>0</v>
      </c>
      <c r="N17" s="75" t="n">
        <v>0</v>
      </c>
      <c r="O17" s="75" t="n">
        <v>0</v>
      </c>
      <c r="P17" s="75" t="n">
        <f aca="false">P16*(1+'6.3 Inputs'!$C$30)/'6.3 Inputs'!$C$29</f>
        <v>60686689.7011092</v>
      </c>
    </row>
    <row r="18" customFormat="false" ht="15" hidden="false" customHeight="true" outlineLevel="0" collapsed="false">
      <c r="B18" s="5" t="s">
        <v>372</v>
      </c>
      <c r="C18" s="40" t="s">
        <v>373</v>
      </c>
      <c r="D18" s="76" t="n">
        <f aca="false">SUM(D14:D17)</f>
        <v>-12600000</v>
      </c>
      <c r="E18" s="76" t="n">
        <f aca="false">SUM(E14:E17)</f>
        <v>-16800000</v>
      </c>
      <c r="F18" s="76" t="n">
        <f aca="false">SUM(F14:F17)</f>
        <v>-15330000</v>
      </c>
      <c r="G18" s="76" t="n">
        <f aca="false">SUM(G14:G17)</f>
        <v>1556965.580625</v>
      </c>
      <c r="H18" s="76" t="n">
        <f aca="false">SUM(H14:H17)</f>
        <v>2242030.4361</v>
      </c>
      <c r="I18" s="76" t="n">
        <f aca="false">SUM(I14:I17)</f>
        <v>2802538.045125</v>
      </c>
      <c r="J18" s="76" t="n">
        <f aca="false">SUM(J14:J17)</f>
        <v>3113931.16125</v>
      </c>
      <c r="K18" s="76" t="n">
        <f aca="false">SUM(K14:K17)</f>
        <v>3303569.56897012</v>
      </c>
      <c r="L18" s="76" t="n">
        <f aca="false">SUM(L14:L17)</f>
        <v>3402676.65603923</v>
      </c>
      <c r="M18" s="76" t="n">
        <f aca="false">SUM(M14:M17)</f>
        <v>3504756.95572041</v>
      </c>
      <c r="N18" s="76" t="n">
        <f aca="false">SUM(N14:N17)</f>
        <v>3609899.66439202</v>
      </c>
      <c r="O18" s="76" t="n">
        <f aca="false">SUM(O14:O17)</f>
        <v>3718196.65432378</v>
      </c>
      <c r="P18" s="76" t="n">
        <f aca="false">SUM(P14:P17)</f>
        <v>64516432.2550627</v>
      </c>
    </row>
    <row r="19" customFormat="false" ht="15" hidden="false" customHeight="false" outlineLevel="0" collapsed="false"/>
    <row r="20" customFormat="false" ht="15" hidden="false" customHeight="true" outlineLevel="0" collapsed="false">
      <c r="B20" s="38" t="s">
        <v>380</v>
      </c>
      <c r="C20" s="38"/>
      <c r="D20" s="38"/>
      <c r="E20" s="38"/>
      <c r="F20" s="38"/>
      <c r="G20" s="38"/>
      <c r="H20" s="38"/>
      <c r="I20" s="38"/>
      <c r="J20" s="38"/>
      <c r="K20" s="38"/>
      <c r="L20" s="38"/>
      <c r="M20" s="38"/>
      <c r="N20" s="38"/>
      <c r="O20" s="38"/>
      <c r="P20" s="38"/>
      <c r="Q20" s="38"/>
    </row>
    <row r="21" customFormat="false" ht="30" hidden="false" customHeight="true" outlineLevel="0" collapsed="false">
      <c r="B21" s="21" t="s">
        <v>90</v>
      </c>
      <c r="C21" s="21" t="s">
        <v>381</v>
      </c>
      <c r="D21" s="21" t="s">
        <v>91</v>
      </c>
      <c r="E21" s="21" t="s">
        <v>382</v>
      </c>
      <c r="F21" s="21" t="s">
        <v>383</v>
      </c>
      <c r="G21" s="21"/>
      <c r="H21" s="21"/>
      <c r="I21" s="21"/>
      <c r="J21" s="21"/>
      <c r="K21" s="21"/>
      <c r="L21" s="21"/>
      <c r="M21" s="21"/>
      <c r="N21" s="21"/>
      <c r="O21" s="21"/>
      <c r="P21" s="21"/>
      <c r="Q21" s="21"/>
    </row>
    <row r="22" customFormat="false" ht="19.5" hidden="false" customHeight="true" outlineLevel="0" collapsed="false">
      <c r="B22" s="5" t="s">
        <v>54</v>
      </c>
      <c r="C22" s="77" t="s">
        <v>384</v>
      </c>
      <c r="D22" s="78" t="n">
        <f aca="false">IRR(D11:P11)</f>
        <v>0.132132781593379</v>
      </c>
      <c r="E22" s="78" t="n">
        <f aca="false">IRR(D18:P18)</f>
        <v>0.0796021588847064</v>
      </c>
      <c r="F22" s="48" t="s">
        <v>385</v>
      </c>
      <c r="G22" s="48"/>
      <c r="H22" s="48"/>
      <c r="I22" s="48"/>
      <c r="J22" s="48"/>
      <c r="K22" s="48"/>
      <c r="L22" s="48"/>
      <c r="M22" s="48"/>
      <c r="N22" s="48"/>
      <c r="O22" s="48"/>
      <c r="P22" s="48"/>
      <c r="Q22" s="48"/>
    </row>
    <row r="23" customFormat="false" ht="19.5" hidden="false" customHeight="true" outlineLevel="0" collapsed="false">
      <c r="B23" s="5" t="s">
        <v>386</v>
      </c>
      <c r="C23" s="40" t="s">
        <v>387</v>
      </c>
      <c r="D23" s="79" t="n">
        <f aca="false">D11+NPV('6.3 Inputs'!$C$35,E11:P11)</f>
        <v>27509295.8689708</v>
      </c>
      <c r="E23" s="79" t="n">
        <f aca="false">D18+NPV('6.3 Inputs'!$C$35,E18:P18)</f>
        <v>3555433.73914214</v>
      </c>
      <c r="F23" s="48" t="s">
        <v>388</v>
      </c>
      <c r="G23" s="48"/>
      <c r="H23" s="48"/>
      <c r="I23" s="48"/>
      <c r="J23" s="48"/>
      <c r="K23" s="48"/>
      <c r="L23" s="48"/>
      <c r="M23" s="48"/>
      <c r="N23" s="48"/>
      <c r="O23" s="48"/>
      <c r="P23" s="48"/>
      <c r="Q23" s="48"/>
    </row>
    <row r="24" customFormat="false" ht="19.5" hidden="false" customHeight="true" outlineLevel="0" collapsed="false">
      <c r="B24" s="5" t="s">
        <v>389</v>
      </c>
      <c r="C24" s="40" t="s">
        <v>390</v>
      </c>
      <c r="D24" s="79" t="n">
        <f aca="false">D11+NPV('6.3 Inputs'!$C$36,E11:P11)</f>
        <v>16438556.9944855</v>
      </c>
      <c r="E24" s="79" t="n">
        <f aca="false">D18+NPV('6.3 Inputs'!$C$36,E18:P18)</f>
        <v>-3414873.69596192</v>
      </c>
      <c r="F24" s="48" t="s">
        <v>191</v>
      </c>
      <c r="G24" s="48"/>
      <c r="H24" s="48"/>
      <c r="I24" s="48"/>
      <c r="J24" s="48"/>
      <c r="K24" s="48"/>
      <c r="L24" s="48"/>
      <c r="M24" s="48"/>
      <c r="N24" s="48"/>
      <c r="O24" s="48"/>
      <c r="P24" s="48"/>
      <c r="Q24" s="48"/>
    </row>
    <row r="25" customFormat="false" ht="19.5" hidden="false" customHeight="true" outlineLevel="0" collapsed="false">
      <c r="B25" s="5" t="s">
        <v>391</v>
      </c>
      <c r="C25" s="40" t="s">
        <v>392</v>
      </c>
      <c r="D25" s="79" t="n">
        <f aca="false">D11+NPV('6.3 Inputs'!$C$37,E11:P11)</f>
        <v>7652968.73807797</v>
      </c>
      <c r="E25" s="79" t="n">
        <f aca="false">D18+NPV('6.3 Inputs'!$C$37,E18:P18)</f>
        <v>-8903665.18398358</v>
      </c>
      <c r="F25" s="48" t="s">
        <v>393</v>
      </c>
      <c r="G25" s="48"/>
      <c r="H25" s="48"/>
      <c r="I25" s="48"/>
      <c r="J25" s="48"/>
      <c r="K25" s="48"/>
      <c r="L25" s="48"/>
      <c r="M25" s="48"/>
      <c r="N25" s="48"/>
      <c r="O25" s="48"/>
      <c r="P25" s="48"/>
      <c r="Q25" s="48"/>
    </row>
    <row r="26" customFormat="false" ht="15" hidden="false" customHeight="false" outlineLevel="0" collapsed="false"/>
    <row r="27" customFormat="false" ht="15" hidden="false" customHeight="false" outlineLevel="0" collapsed="false"/>
    <row r="28" customFormat="false" ht="15" hidden="false" customHeight="true" outlineLevel="0" collapsed="false">
      <c r="B28" s="10" t="s">
        <v>394</v>
      </c>
      <c r="C28" s="10"/>
      <c r="D28" s="10"/>
      <c r="E28" s="10"/>
      <c r="F28" s="10"/>
      <c r="G28" s="10"/>
      <c r="H28" s="10"/>
      <c r="I28" s="10"/>
      <c r="J28" s="10"/>
      <c r="K28" s="10"/>
      <c r="L28" s="10"/>
      <c r="M28" s="10"/>
      <c r="N28" s="10"/>
      <c r="O28" s="10"/>
      <c r="P28" s="10"/>
      <c r="Q28" s="10"/>
    </row>
    <row r="29" customFormat="false" ht="27.75" hidden="false" customHeight="true" outlineLevel="0" collapsed="false">
      <c r="B29" s="80" t="s">
        <v>395</v>
      </c>
      <c r="D29" s="36" t="s">
        <v>396</v>
      </c>
      <c r="E29" s="36"/>
      <c r="F29" s="36"/>
      <c r="G29" s="36"/>
      <c r="H29" s="36"/>
      <c r="I29" s="36"/>
      <c r="J29" s="36"/>
      <c r="K29" s="36"/>
      <c r="L29" s="36"/>
      <c r="M29" s="36"/>
      <c r="N29" s="36"/>
      <c r="O29" s="36"/>
      <c r="P29" s="36"/>
      <c r="Q29" s="36"/>
    </row>
    <row r="30" customFormat="false" ht="27.75" hidden="false" customHeight="true" outlineLevel="0" collapsed="false">
      <c r="B30" s="80" t="s">
        <v>397</v>
      </c>
      <c r="D30" s="36" t="s">
        <v>398</v>
      </c>
      <c r="E30" s="36"/>
      <c r="F30" s="36"/>
      <c r="G30" s="36"/>
      <c r="H30" s="36"/>
      <c r="I30" s="36"/>
      <c r="J30" s="36"/>
      <c r="K30" s="36"/>
      <c r="L30" s="36"/>
      <c r="M30" s="36"/>
      <c r="N30" s="36"/>
      <c r="O30" s="36"/>
      <c r="P30" s="36"/>
      <c r="Q30" s="36"/>
    </row>
    <row r="31" customFormat="false" ht="27.75" hidden="false" customHeight="true" outlineLevel="0" collapsed="false">
      <c r="B31" s="80" t="s">
        <v>399</v>
      </c>
      <c r="D31" s="36" t="s">
        <v>400</v>
      </c>
      <c r="E31" s="36"/>
      <c r="F31" s="36"/>
      <c r="G31" s="36"/>
      <c r="H31" s="36"/>
      <c r="I31" s="36"/>
      <c r="J31" s="36"/>
      <c r="K31" s="36"/>
      <c r="L31" s="36"/>
      <c r="M31" s="36"/>
      <c r="N31" s="36"/>
      <c r="O31" s="36"/>
      <c r="P31" s="36"/>
      <c r="Q31" s="36"/>
    </row>
    <row r="32" customFormat="false" ht="27.75" hidden="false" customHeight="true" outlineLevel="0" collapsed="false">
      <c r="B32" s="80" t="s">
        <v>401</v>
      </c>
      <c r="D32" s="36" t="s">
        <v>402</v>
      </c>
      <c r="E32" s="36"/>
      <c r="F32" s="36"/>
      <c r="G32" s="36"/>
      <c r="H32" s="36"/>
      <c r="I32" s="36"/>
      <c r="J32" s="36"/>
      <c r="K32" s="36"/>
      <c r="L32" s="36"/>
      <c r="M32" s="36"/>
      <c r="N32" s="36"/>
      <c r="O32" s="36"/>
      <c r="P32" s="36"/>
      <c r="Q32" s="36"/>
    </row>
    <row r="33" customFormat="false" ht="27.75" hidden="false" customHeight="true" outlineLevel="0" collapsed="false">
      <c r="B33" s="80" t="s">
        <v>403</v>
      </c>
      <c r="D33" s="36" t="s">
        <v>404</v>
      </c>
      <c r="E33" s="36"/>
      <c r="F33" s="36"/>
      <c r="G33" s="36"/>
      <c r="H33" s="36"/>
      <c r="I33" s="36"/>
      <c r="J33" s="36"/>
      <c r="K33" s="36"/>
      <c r="L33" s="36"/>
      <c r="M33" s="36"/>
      <c r="N33" s="36"/>
      <c r="O33" s="36"/>
      <c r="P33" s="36"/>
      <c r="Q33" s="36"/>
    </row>
    <row r="34" customFormat="false" ht="27.75" hidden="false" customHeight="true" outlineLevel="0" collapsed="false">
      <c r="B34" s="80" t="s">
        <v>405</v>
      </c>
      <c r="D34" s="36" t="s">
        <v>406</v>
      </c>
      <c r="E34" s="36"/>
      <c r="F34" s="36"/>
      <c r="G34" s="36"/>
      <c r="H34" s="36"/>
      <c r="I34" s="36"/>
      <c r="J34" s="36"/>
      <c r="K34" s="36"/>
      <c r="L34" s="36"/>
      <c r="M34" s="36"/>
      <c r="N34" s="36"/>
      <c r="O34" s="36"/>
      <c r="P34" s="36"/>
      <c r="Q34" s="36"/>
    </row>
    <row r="35" customFormat="false" ht="27.75" hidden="false" customHeight="true" outlineLevel="0" collapsed="false">
      <c r="B35" s="80" t="s">
        <v>407</v>
      </c>
      <c r="D35" s="36" t="s">
        <v>408</v>
      </c>
      <c r="E35" s="36"/>
      <c r="F35" s="36"/>
      <c r="G35" s="36"/>
      <c r="H35" s="36"/>
      <c r="I35" s="36"/>
      <c r="J35" s="36"/>
      <c r="K35" s="36"/>
      <c r="L35" s="36"/>
      <c r="M35" s="36"/>
      <c r="N35" s="36"/>
      <c r="O35" s="36"/>
      <c r="P35" s="36"/>
      <c r="Q35" s="36"/>
    </row>
    <row r="36" customFormat="false" ht="15" hidden="false" customHeight="false" outlineLevel="0" collapsed="false"/>
    <row r="37" customFormat="false" ht="15" hidden="false" customHeight="true" outlineLevel="0" collapsed="false">
      <c r="B37" s="37" t="s">
        <v>409</v>
      </c>
      <c r="C37" s="37"/>
      <c r="D37" s="37"/>
      <c r="E37" s="37"/>
      <c r="F37" s="37"/>
      <c r="G37" s="37"/>
      <c r="H37" s="37"/>
      <c r="I37" s="37"/>
      <c r="J37" s="37"/>
      <c r="K37" s="37"/>
      <c r="L37" s="37"/>
      <c r="M37" s="37"/>
      <c r="N37" s="37"/>
      <c r="O37" s="37"/>
      <c r="P37" s="37"/>
      <c r="Q37" s="37"/>
    </row>
  </sheetData>
  <mergeCells count="18">
    <mergeCell ref="B3:Q3"/>
    <mergeCell ref="B6:Q6"/>
    <mergeCell ref="B13:Q13"/>
    <mergeCell ref="B20:Q20"/>
    <mergeCell ref="F21:Q21"/>
    <mergeCell ref="F22:Q22"/>
    <mergeCell ref="F23:Q23"/>
    <mergeCell ref="F24:Q24"/>
    <mergeCell ref="F25:Q25"/>
    <mergeCell ref="B28:Q28"/>
    <mergeCell ref="D29:Q29"/>
    <mergeCell ref="D30:Q30"/>
    <mergeCell ref="D31:Q31"/>
    <mergeCell ref="D32:Q32"/>
    <mergeCell ref="D33:Q33"/>
    <mergeCell ref="D34:Q34"/>
    <mergeCell ref="D35:Q35"/>
    <mergeCell ref="B37:Q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4B2F"/>
    <pageSetUpPr fitToPage="false"/>
  </sheetPr>
  <dimension ref="B2:N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18"/>
    <col collapsed="false" customWidth="true" hidden="false" outlineLevel="0" max="7" min="3" style="1" width="14"/>
    <col collapsed="false" customWidth="true" hidden="false" outlineLevel="0" max="8" min="8" style="1" width="3"/>
    <col collapsed="false" customWidth="true" hidden="false" outlineLevel="0" max="9" min="9" style="1" width="18"/>
    <col collapsed="false" customWidth="true" hidden="false" outlineLevel="0" max="14" min="10" style="1" width="14"/>
  </cols>
  <sheetData>
    <row r="2" customFormat="false" ht="66" hidden="false" customHeight="true" outlineLevel="0" collapsed="false">
      <c r="B2" s="12" t="s">
        <v>410</v>
      </c>
    </row>
    <row r="3" customFormat="false" ht="15" hidden="false" customHeight="true" outlineLevel="0" collapsed="false">
      <c r="B3" s="13" t="s">
        <v>411</v>
      </c>
      <c r="C3" s="13"/>
      <c r="D3" s="13"/>
      <c r="E3" s="13"/>
      <c r="F3" s="13"/>
      <c r="G3" s="13"/>
      <c r="H3" s="13"/>
      <c r="I3" s="13"/>
      <c r="J3" s="13"/>
      <c r="K3" s="13"/>
      <c r="L3" s="13"/>
      <c r="M3" s="13"/>
      <c r="N3" s="13"/>
    </row>
    <row r="5" customFormat="false" ht="21.75" hidden="false" customHeight="true" outlineLevel="0" collapsed="false">
      <c r="B5" s="6" t="s">
        <v>104</v>
      </c>
      <c r="C5" s="6"/>
      <c r="D5" s="6"/>
      <c r="E5" s="6"/>
      <c r="F5" s="6"/>
      <c r="G5" s="6"/>
      <c r="I5" s="6" t="s">
        <v>412</v>
      </c>
      <c r="J5" s="6"/>
      <c r="K5" s="6"/>
      <c r="L5" s="6"/>
      <c r="M5" s="6"/>
      <c r="N5" s="6"/>
    </row>
    <row r="6" customFormat="false" ht="15" hidden="false" customHeight="true" outlineLevel="0" collapsed="false">
      <c r="B6" s="21" t="s">
        <v>413</v>
      </c>
      <c r="C6" s="21" t="s">
        <v>414</v>
      </c>
      <c r="D6" s="21" t="s">
        <v>415</v>
      </c>
      <c r="E6" s="21" t="s">
        <v>416</v>
      </c>
      <c r="F6" s="21" t="s">
        <v>417</v>
      </c>
      <c r="G6" s="21" t="s">
        <v>418</v>
      </c>
      <c r="I6" s="21" t="s">
        <v>413</v>
      </c>
      <c r="J6" s="21" t="s">
        <v>414</v>
      </c>
      <c r="K6" s="21" t="s">
        <v>415</v>
      </c>
      <c r="L6" s="21" t="s">
        <v>416</v>
      </c>
      <c r="M6" s="21" t="s">
        <v>417</v>
      </c>
      <c r="N6" s="21" t="s">
        <v>418</v>
      </c>
    </row>
    <row r="7" customFormat="false" ht="15" hidden="false" customHeight="true" outlineLevel="0" collapsed="false">
      <c r="B7" s="81" t="s">
        <v>419</v>
      </c>
      <c r="C7" s="82" t="n">
        <f aca="false">('6.3 Inputs'!$C$11*0.85)*0.45*'6.3 Inputs'!$C$7*'6.3 Inputs'!$C$15*(1+'6.3 Inputs'!$C$13)*(1-'6.3 Inputs'!$C$20)-('6.3 Inputs'!$C$11*0.85)*0.45*'6.3 Inputs'!$C$7*'6.3 Inputs'!$C$15*(1+'6.3 Inputs'!$C$13)*'6.3 Inputs'!$C$21-(('6.3 Inputs'!$C$11*0.85)*0.45*'6.3 Inputs'!$C$7*'6.3 Inputs'!$C$15*(1+'6.3 Inputs'!$C$13)*(1-'6.3 Inputs'!$C$20))*'6.3 Inputs'!$C$22-('6.3 Inputs'!$C$11*0.85)*0.45*'6.3 Inputs'!$C$7*'6.3 Inputs'!$C$15*(1+'6.3 Inputs'!$C$13)*'6.3 Inputs'!$C$23</f>
        <v>2802538.045125</v>
      </c>
      <c r="D7" s="82" t="n">
        <f aca="false">('6.3 Inputs'!$C$11*0.85)*0.5*'6.3 Inputs'!$C$7*'6.3 Inputs'!$C$15*(1+'6.3 Inputs'!$C$13)*(1-'6.3 Inputs'!$C$20)-('6.3 Inputs'!$C$11*0.85)*0.5*'6.3 Inputs'!$C$7*'6.3 Inputs'!$C$15*(1+'6.3 Inputs'!$C$13)*'6.3 Inputs'!$C$21-(('6.3 Inputs'!$C$11*0.85)*0.5*'6.3 Inputs'!$C$7*'6.3 Inputs'!$C$15*(1+'6.3 Inputs'!$C$13)*(1-'6.3 Inputs'!$C$20))*'6.3 Inputs'!$C$22-('6.3 Inputs'!$C$11*0.85)*0.5*'6.3 Inputs'!$C$7*'6.3 Inputs'!$C$15*(1+'6.3 Inputs'!$C$13)*'6.3 Inputs'!$C$23</f>
        <v>3113931.16125</v>
      </c>
      <c r="E7" s="82" t="n">
        <f aca="false">('6.3 Inputs'!$C$11*0.85)*0.55*'6.3 Inputs'!$C$7*'6.3 Inputs'!$C$15*(1+'6.3 Inputs'!$C$13)*(1-'6.3 Inputs'!$C$20)-('6.3 Inputs'!$C$11*0.85)*0.55*'6.3 Inputs'!$C$7*'6.3 Inputs'!$C$15*(1+'6.3 Inputs'!$C$13)*'6.3 Inputs'!$C$21-(('6.3 Inputs'!$C$11*0.85)*0.55*'6.3 Inputs'!$C$7*'6.3 Inputs'!$C$15*(1+'6.3 Inputs'!$C$13)*(1-'6.3 Inputs'!$C$20))*'6.3 Inputs'!$C$22-('6.3 Inputs'!$C$11*0.85)*0.55*'6.3 Inputs'!$C$7*'6.3 Inputs'!$C$15*(1+'6.3 Inputs'!$C$13)*'6.3 Inputs'!$C$23</f>
        <v>3425324.277375</v>
      </c>
      <c r="F7" s="82" t="n">
        <f aca="false">('6.3 Inputs'!$C$11*0.85)*0.65*'6.3 Inputs'!$C$7*'6.3 Inputs'!$C$15*(1+'6.3 Inputs'!$C$13)*(1-'6.3 Inputs'!$C$20)-('6.3 Inputs'!$C$11*0.85)*0.65*'6.3 Inputs'!$C$7*'6.3 Inputs'!$C$15*(1+'6.3 Inputs'!$C$13)*'6.3 Inputs'!$C$21-(('6.3 Inputs'!$C$11*0.85)*0.65*'6.3 Inputs'!$C$7*'6.3 Inputs'!$C$15*(1+'6.3 Inputs'!$C$13)*(1-'6.3 Inputs'!$C$20))*'6.3 Inputs'!$C$22-('6.3 Inputs'!$C$11*0.85)*0.65*'6.3 Inputs'!$C$7*'6.3 Inputs'!$C$15*(1+'6.3 Inputs'!$C$13)*'6.3 Inputs'!$C$23</f>
        <v>4048110.509625</v>
      </c>
      <c r="G7" s="82" t="n">
        <f aca="false">('6.3 Inputs'!$C$11*0.85)*0.75*'6.3 Inputs'!$C$7*'6.3 Inputs'!$C$15*(1+'6.3 Inputs'!$C$13)*(1-'6.3 Inputs'!$C$20)-('6.3 Inputs'!$C$11*0.85)*0.75*'6.3 Inputs'!$C$7*'6.3 Inputs'!$C$15*(1+'6.3 Inputs'!$C$13)*'6.3 Inputs'!$C$21-(('6.3 Inputs'!$C$11*0.85)*0.75*'6.3 Inputs'!$C$7*'6.3 Inputs'!$C$15*(1+'6.3 Inputs'!$C$13)*(1-'6.3 Inputs'!$C$20))*'6.3 Inputs'!$C$22-('6.3 Inputs'!$C$11*0.85)*0.75*'6.3 Inputs'!$C$7*'6.3 Inputs'!$C$15*(1+'6.3 Inputs'!$C$13)*'6.3 Inputs'!$C$23</f>
        <v>4670896.741875</v>
      </c>
      <c r="I7" s="81" t="s">
        <v>419</v>
      </c>
      <c r="J7" s="83" t="n">
        <f aca="false">C7/'6.3 Inputs'!$C$53</f>
        <v>0.0667270963125</v>
      </c>
      <c r="K7" s="83" t="n">
        <f aca="false">D7/'6.3 Inputs'!$C$53</f>
        <v>0.074141218125</v>
      </c>
      <c r="L7" s="83" t="n">
        <f aca="false">E7/'6.3 Inputs'!$C$53</f>
        <v>0.0815553399375</v>
      </c>
      <c r="M7" s="83" t="n">
        <f aca="false">F7/'6.3 Inputs'!$C$53</f>
        <v>0.0963835835625</v>
      </c>
      <c r="N7" s="83" t="n">
        <f aca="false">G7/'6.3 Inputs'!$C$53</f>
        <v>0.1112118271875</v>
      </c>
    </row>
    <row r="8" customFormat="false" ht="15" hidden="false" customHeight="true" outlineLevel="0" collapsed="false">
      <c r="B8" s="81" t="s">
        <v>420</v>
      </c>
      <c r="C8" s="82" t="n">
        <f aca="false">('6.3 Inputs'!$C$11*0.9)*0.45*'6.3 Inputs'!$C$7*'6.3 Inputs'!$C$15*(1+'6.3 Inputs'!$C$13)*(1-'6.3 Inputs'!$C$20)-('6.3 Inputs'!$C$11*0.9)*0.45*'6.3 Inputs'!$C$7*'6.3 Inputs'!$C$15*(1+'6.3 Inputs'!$C$13)*'6.3 Inputs'!$C$21-(('6.3 Inputs'!$C$11*0.9)*0.45*'6.3 Inputs'!$C$7*'6.3 Inputs'!$C$15*(1+'6.3 Inputs'!$C$13)*(1-'6.3 Inputs'!$C$20))*'6.3 Inputs'!$C$22-('6.3 Inputs'!$C$11*0.9)*0.45*'6.3 Inputs'!$C$7*'6.3 Inputs'!$C$15*(1+'6.3 Inputs'!$C$13)*'6.3 Inputs'!$C$23</f>
        <v>2967393.22425</v>
      </c>
      <c r="D8" s="82" t="n">
        <f aca="false">('6.3 Inputs'!$C$11*0.9)*0.5*'6.3 Inputs'!$C$7*'6.3 Inputs'!$C$15*(1+'6.3 Inputs'!$C$13)*(1-'6.3 Inputs'!$C$20)-('6.3 Inputs'!$C$11*0.9)*0.5*'6.3 Inputs'!$C$7*'6.3 Inputs'!$C$15*(1+'6.3 Inputs'!$C$13)*'6.3 Inputs'!$C$21-(('6.3 Inputs'!$C$11*0.9)*0.5*'6.3 Inputs'!$C$7*'6.3 Inputs'!$C$15*(1+'6.3 Inputs'!$C$13)*(1-'6.3 Inputs'!$C$20))*'6.3 Inputs'!$C$22-('6.3 Inputs'!$C$11*0.9)*0.5*'6.3 Inputs'!$C$7*'6.3 Inputs'!$C$15*(1+'6.3 Inputs'!$C$13)*'6.3 Inputs'!$C$23</f>
        <v>3297103.5825</v>
      </c>
      <c r="E8" s="82" t="n">
        <f aca="false">('6.3 Inputs'!$C$11*0.9)*0.55*'6.3 Inputs'!$C$7*'6.3 Inputs'!$C$15*(1+'6.3 Inputs'!$C$13)*(1-'6.3 Inputs'!$C$20)-('6.3 Inputs'!$C$11*0.9)*0.55*'6.3 Inputs'!$C$7*'6.3 Inputs'!$C$15*(1+'6.3 Inputs'!$C$13)*'6.3 Inputs'!$C$21-(('6.3 Inputs'!$C$11*0.9)*0.55*'6.3 Inputs'!$C$7*'6.3 Inputs'!$C$15*(1+'6.3 Inputs'!$C$13)*(1-'6.3 Inputs'!$C$20))*'6.3 Inputs'!$C$22-('6.3 Inputs'!$C$11*0.9)*0.55*'6.3 Inputs'!$C$7*'6.3 Inputs'!$C$15*(1+'6.3 Inputs'!$C$13)*'6.3 Inputs'!$C$23</f>
        <v>3626813.94075</v>
      </c>
      <c r="F8" s="82" t="n">
        <f aca="false">('6.3 Inputs'!$C$11*0.9)*0.65*'6.3 Inputs'!$C$7*'6.3 Inputs'!$C$15*(1+'6.3 Inputs'!$C$13)*(1-'6.3 Inputs'!$C$20)-('6.3 Inputs'!$C$11*0.9)*0.65*'6.3 Inputs'!$C$7*'6.3 Inputs'!$C$15*(1+'6.3 Inputs'!$C$13)*'6.3 Inputs'!$C$21-(('6.3 Inputs'!$C$11*0.9)*0.65*'6.3 Inputs'!$C$7*'6.3 Inputs'!$C$15*(1+'6.3 Inputs'!$C$13)*(1-'6.3 Inputs'!$C$20))*'6.3 Inputs'!$C$22-('6.3 Inputs'!$C$11*0.9)*0.65*'6.3 Inputs'!$C$7*'6.3 Inputs'!$C$15*(1+'6.3 Inputs'!$C$13)*'6.3 Inputs'!$C$23</f>
        <v>4286234.65725</v>
      </c>
      <c r="G8" s="82" t="n">
        <f aca="false">('6.3 Inputs'!$C$11*0.9)*0.75*'6.3 Inputs'!$C$7*'6.3 Inputs'!$C$15*(1+'6.3 Inputs'!$C$13)*(1-'6.3 Inputs'!$C$20)-('6.3 Inputs'!$C$11*0.9)*0.75*'6.3 Inputs'!$C$7*'6.3 Inputs'!$C$15*(1+'6.3 Inputs'!$C$13)*'6.3 Inputs'!$C$21-(('6.3 Inputs'!$C$11*0.9)*0.75*'6.3 Inputs'!$C$7*'6.3 Inputs'!$C$15*(1+'6.3 Inputs'!$C$13)*(1-'6.3 Inputs'!$C$20))*'6.3 Inputs'!$C$22-('6.3 Inputs'!$C$11*0.9)*0.75*'6.3 Inputs'!$C$7*'6.3 Inputs'!$C$15*(1+'6.3 Inputs'!$C$13)*'6.3 Inputs'!$C$23</f>
        <v>4945655.37375</v>
      </c>
      <c r="I8" s="81" t="s">
        <v>420</v>
      </c>
      <c r="J8" s="83" t="n">
        <f aca="false">C8/'6.3 Inputs'!$C$53</f>
        <v>0.070652219625</v>
      </c>
      <c r="K8" s="83" t="n">
        <f aca="false">D8/'6.3 Inputs'!$C$53</f>
        <v>0.07850246625</v>
      </c>
      <c r="L8" s="83" t="n">
        <f aca="false">E8/'6.3 Inputs'!$C$53</f>
        <v>0.086352712875</v>
      </c>
      <c r="M8" s="83" t="n">
        <f aca="false">F8/'6.3 Inputs'!$C$53</f>
        <v>0.102053206125</v>
      </c>
      <c r="N8" s="83" t="n">
        <f aca="false">G8/'6.3 Inputs'!$C$53</f>
        <v>0.117753699375</v>
      </c>
    </row>
    <row r="9" customFormat="false" ht="15" hidden="false" customHeight="true" outlineLevel="0" collapsed="false">
      <c r="B9" s="81" t="s">
        <v>421</v>
      </c>
      <c r="C9" s="82" t="n">
        <f aca="false">('6.3 Inputs'!$C$11)*0.45*'6.3 Inputs'!$C$7*'6.3 Inputs'!$C$15*(1+'6.3 Inputs'!$C$13)*(1-'6.3 Inputs'!$C$20)-('6.3 Inputs'!$C$11)*0.45*'6.3 Inputs'!$C$7*'6.3 Inputs'!$C$15*(1+'6.3 Inputs'!$C$13)*'6.3 Inputs'!$C$21-(('6.3 Inputs'!$C$11)*0.45*'6.3 Inputs'!$C$7*'6.3 Inputs'!$C$15*(1+'6.3 Inputs'!$C$13)*(1-'6.3 Inputs'!$C$20))*'6.3 Inputs'!$C$22-('6.3 Inputs'!$C$11)*0.45*'6.3 Inputs'!$C$7*'6.3 Inputs'!$C$15*(1+'6.3 Inputs'!$C$13)*'6.3 Inputs'!$C$23</f>
        <v>3297103.5825</v>
      </c>
      <c r="D9" s="82" t="n">
        <f aca="false">('6.3 Inputs'!$C$11)*0.5*'6.3 Inputs'!$C$7*'6.3 Inputs'!$C$15*(1+'6.3 Inputs'!$C$13)*(1-'6.3 Inputs'!$C$20)-('6.3 Inputs'!$C$11)*0.5*'6.3 Inputs'!$C$7*'6.3 Inputs'!$C$15*(1+'6.3 Inputs'!$C$13)*'6.3 Inputs'!$C$21-(('6.3 Inputs'!$C$11)*0.5*'6.3 Inputs'!$C$7*'6.3 Inputs'!$C$15*(1+'6.3 Inputs'!$C$13)*(1-'6.3 Inputs'!$C$20))*'6.3 Inputs'!$C$22-('6.3 Inputs'!$C$11)*0.5*'6.3 Inputs'!$C$7*'6.3 Inputs'!$C$15*(1+'6.3 Inputs'!$C$13)*'6.3 Inputs'!$C$23</f>
        <v>3663448.425</v>
      </c>
      <c r="E9" s="82" t="n">
        <f aca="false">('6.3 Inputs'!$C$11)*0.55*'6.3 Inputs'!$C$7*'6.3 Inputs'!$C$15*(1+'6.3 Inputs'!$C$13)*(1-'6.3 Inputs'!$C$20)-('6.3 Inputs'!$C$11)*0.55*'6.3 Inputs'!$C$7*'6.3 Inputs'!$C$15*(1+'6.3 Inputs'!$C$13)*'6.3 Inputs'!$C$21-(('6.3 Inputs'!$C$11)*0.55*'6.3 Inputs'!$C$7*'6.3 Inputs'!$C$15*(1+'6.3 Inputs'!$C$13)*(1-'6.3 Inputs'!$C$20))*'6.3 Inputs'!$C$22-('6.3 Inputs'!$C$11)*0.55*'6.3 Inputs'!$C$7*'6.3 Inputs'!$C$15*(1+'6.3 Inputs'!$C$13)*'6.3 Inputs'!$C$23</f>
        <v>4029793.2675</v>
      </c>
      <c r="F9" s="82" t="n">
        <f aca="false">('6.3 Inputs'!$C$11)*0.65*'6.3 Inputs'!$C$7*'6.3 Inputs'!$C$15*(1+'6.3 Inputs'!$C$13)*(1-'6.3 Inputs'!$C$20)-('6.3 Inputs'!$C$11)*0.65*'6.3 Inputs'!$C$7*'6.3 Inputs'!$C$15*(1+'6.3 Inputs'!$C$13)*'6.3 Inputs'!$C$21-(('6.3 Inputs'!$C$11)*0.65*'6.3 Inputs'!$C$7*'6.3 Inputs'!$C$15*(1+'6.3 Inputs'!$C$13)*(1-'6.3 Inputs'!$C$20))*'6.3 Inputs'!$C$22-('6.3 Inputs'!$C$11)*0.65*'6.3 Inputs'!$C$7*'6.3 Inputs'!$C$15*(1+'6.3 Inputs'!$C$13)*'6.3 Inputs'!$C$23</f>
        <v>4762482.9525</v>
      </c>
      <c r="G9" s="82" t="n">
        <f aca="false">('6.3 Inputs'!$C$11)*0.75*'6.3 Inputs'!$C$7*'6.3 Inputs'!$C$15*(1+'6.3 Inputs'!$C$13)*(1-'6.3 Inputs'!$C$20)-('6.3 Inputs'!$C$11)*0.75*'6.3 Inputs'!$C$7*'6.3 Inputs'!$C$15*(1+'6.3 Inputs'!$C$13)*'6.3 Inputs'!$C$21-(('6.3 Inputs'!$C$11)*0.75*'6.3 Inputs'!$C$7*'6.3 Inputs'!$C$15*(1+'6.3 Inputs'!$C$13)*(1-'6.3 Inputs'!$C$20))*'6.3 Inputs'!$C$22-('6.3 Inputs'!$C$11)*0.75*'6.3 Inputs'!$C$7*'6.3 Inputs'!$C$15*(1+'6.3 Inputs'!$C$13)*'6.3 Inputs'!$C$23</f>
        <v>5495172.6375</v>
      </c>
      <c r="I9" s="81" t="s">
        <v>421</v>
      </c>
      <c r="J9" s="83" t="n">
        <f aca="false">C9/'6.3 Inputs'!$C$53</f>
        <v>0.07850246625</v>
      </c>
      <c r="K9" s="83" t="n">
        <f aca="false">D9/'6.3 Inputs'!$C$53</f>
        <v>0.0872249625</v>
      </c>
      <c r="L9" s="83" t="n">
        <f aca="false">E9/'6.3 Inputs'!$C$53</f>
        <v>0.09594745875</v>
      </c>
      <c r="M9" s="83" t="n">
        <f aca="false">F9/'6.3 Inputs'!$C$53</f>
        <v>0.11339245125</v>
      </c>
      <c r="N9" s="83" t="n">
        <f aca="false">G9/'6.3 Inputs'!$C$53</f>
        <v>0.13083744375</v>
      </c>
    </row>
    <row r="10" customFormat="false" ht="15" hidden="false" customHeight="true" outlineLevel="0" collapsed="false">
      <c r="B10" s="81" t="s">
        <v>422</v>
      </c>
      <c r="C10" s="82" t="n">
        <f aca="false">('6.3 Inputs'!$C$11*1.1)*0.45*'6.3 Inputs'!$C$7*'6.3 Inputs'!$C$15*(1+'6.3 Inputs'!$C$13)*(1-'6.3 Inputs'!$C$20)-('6.3 Inputs'!$C$11*1.1)*0.45*'6.3 Inputs'!$C$7*'6.3 Inputs'!$C$15*(1+'6.3 Inputs'!$C$13)*'6.3 Inputs'!$C$21-(('6.3 Inputs'!$C$11*1.1)*0.45*'6.3 Inputs'!$C$7*'6.3 Inputs'!$C$15*(1+'6.3 Inputs'!$C$13)*(1-'6.3 Inputs'!$C$20))*'6.3 Inputs'!$C$22-('6.3 Inputs'!$C$11*1.1)*0.45*'6.3 Inputs'!$C$7*'6.3 Inputs'!$C$15*(1+'6.3 Inputs'!$C$13)*'6.3 Inputs'!$C$23</f>
        <v>3626813.94075</v>
      </c>
      <c r="D10" s="82" t="n">
        <f aca="false">('6.3 Inputs'!$C$11*1.1)*0.5*'6.3 Inputs'!$C$7*'6.3 Inputs'!$C$15*(1+'6.3 Inputs'!$C$13)*(1-'6.3 Inputs'!$C$20)-('6.3 Inputs'!$C$11*1.1)*0.5*'6.3 Inputs'!$C$7*'6.3 Inputs'!$C$15*(1+'6.3 Inputs'!$C$13)*'6.3 Inputs'!$C$21-(('6.3 Inputs'!$C$11*1.1)*0.5*'6.3 Inputs'!$C$7*'6.3 Inputs'!$C$15*(1+'6.3 Inputs'!$C$13)*(1-'6.3 Inputs'!$C$20))*'6.3 Inputs'!$C$22-('6.3 Inputs'!$C$11*1.1)*0.5*'6.3 Inputs'!$C$7*'6.3 Inputs'!$C$15*(1+'6.3 Inputs'!$C$13)*'6.3 Inputs'!$C$23</f>
        <v>4029793.2675</v>
      </c>
      <c r="E10" s="82" t="n">
        <f aca="false">('6.3 Inputs'!$C$11*1.1)*0.55*'6.3 Inputs'!$C$7*'6.3 Inputs'!$C$15*(1+'6.3 Inputs'!$C$13)*(1-'6.3 Inputs'!$C$20)-('6.3 Inputs'!$C$11*1.1)*0.55*'6.3 Inputs'!$C$7*'6.3 Inputs'!$C$15*(1+'6.3 Inputs'!$C$13)*'6.3 Inputs'!$C$21-(('6.3 Inputs'!$C$11*1.1)*0.55*'6.3 Inputs'!$C$7*'6.3 Inputs'!$C$15*(1+'6.3 Inputs'!$C$13)*(1-'6.3 Inputs'!$C$20))*'6.3 Inputs'!$C$22-('6.3 Inputs'!$C$11*1.1)*0.55*'6.3 Inputs'!$C$7*'6.3 Inputs'!$C$15*(1+'6.3 Inputs'!$C$13)*'6.3 Inputs'!$C$23</f>
        <v>4432772.59425</v>
      </c>
      <c r="F10" s="82" t="n">
        <f aca="false">('6.3 Inputs'!$C$11*1.1)*0.65*'6.3 Inputs'!$C$7*'6.3 Inputs'!$C$15*(1+'6.3 Inputs'!$C$13)*(1-'6.3 Inputs'!$C$20)-('6.3 Inputs'!$C$11*1.1)*0.65*'6.3 Inputs'!$C$7*'6.3 Inputs'!$C$15*(1+'6.3 Inputs'!$C$13)*'6.3 Inputs'!$C$21-(('6.3 Inputs'!$C$11*1.1)*0.65*'6.3 Inputs'!$C$7*'6.3 Inputs'!$C$15*(1+'6.3 Inputs'!$C$13)*(1-'6.3 Inputs'!$C$20))*'6.3 Inputs'!$C$22-('6.3 Inputs'!$C$11*1.1)*0.65*'6.3 Inputs'!$C$7*'6.3 Inputs'!$C$15*(1+'6.3 Inputs'!$C$13)*'6.3 Inputs'!$C$23</f>
        <v>5238731.24775</v>
      </c>
      <c r="G10" s="82" t="n">
        <f aca="false">('6.3 Inputs'!$C$11*1.1)*0.75*'6.3 Inputs'!$C$7*'6.3 Inputs'!$C$15*(1+'6.3 Inputs'!$C$13)*(1-'6.3 Inputs'!$C$20)-('6.3 Inputs'!$C$11*1.1)*0.75*'6.3 Inputs'!$C$7*'6.3 Inputs'!$C$15*(1+'6.3 Inputs'!$C$13)*'6.3 Inputs'!$C$21-(('6.3 Inputs'!$C$11*1.1)*0.75*'6.3 Inputs'!$C$7*'6.3 Inputs'!$C$15*(1+'6.3 Inputs'!$C$13)*(1-'6.3 Inputs'!$C$20))*'6.3 Inputs'!$C$22-('6.3 Inputs'!$C$11*1.1)*0.75*'6.3 Inputs'!$C$7*'6.3 Inputs'!$C$15*(1+'6.3 Inputs'!$C$13)*'6.3 Inputs'!$C$23</f>
        <v>6044689.90125</v>
      </c>
      <c r="I10" s="81" t="s">
        <v>422</v>
      </c>
      <c r="J10" s="83" t="n">
        <f aca="false">C10/'6.3 Inputs'!$C$53</f>
        <v>0.086352712875</v>
      </c>
      <c r="K10" s="83" t="n">
        <f aca="false">D10/'6.3 Inputs'!$C$53</f>
        <v>0.09594745875</v>
      </c>
      <c r="L10" s="83" t="n">
        <f aca="false">E10/'6.3 Inputs'!$C$53</f>
        <v>0.105542204625</v>
      </c>
      <c r="M10" s="83" t="n">
        <f aca="false">F10/'6.3 Inputs'!$C$53</f>
        <v>0.124731696375</v>
      </c>
      <c r="N10" s="83" t="n">
        <f aca="false">G10/'6.3 Inputs'!$C$53</f>
        <v>0.143921188125</v>
      </c>
    </row>
    <row r="11" customFormat="false" ht="15" hidden="false" customHeight="true" outlineLevel="0" collapsed="false">
      <c r="B11" s="81" t="s">
        <v>423</v>
      </c>
      <c r="C11" s="82" t="n">
        <f aca="false">('6.3 Inputs'!$C$11*1.15)*0.45*'6.3 Inputs'!$C$7*'6.3 Inputs'!$C$15*(1+'6.3 Inputs'!$C$13)*(1-'6.3 Inputs'!$C$20)-('6.3 Inputs'!$C$11*1.15)*0.45*'6.3 Inputs'!$C$7*'6.3 Inputs'!$C$15*(1+'6.3 Inputs'!$C$13)*'6.3 Inputs'!$C$21-(('6.3 Inputs'!$C$11*1.15)*0.45*'6.3 Inputs'!$C$7*'6.3 Inputs'!$C$15*(1+'6.3 Inputs'!$C$13)*(1-'6.3 Inputs'!$C$20))*'6.3 Inputs'!$C$22-('6.3 Inputs'!$C$11*1.15)*0.45*'6.3 Inputs'!$C$7*'6.3 Inputs'!$C$15*(1+'6.3 Inputs'!$C$13)*'6.3 Inputs'!$C$23</f>
        <v>3791669.119875</v>
      </c>
      <c r="D11" s="82" t="n">
        <f aca="false">('6.3 Inputs'!$C$11*1.15)*0.5*'6.3 Inputs'!$C$7*'6.3 Inputs'!$C$15*(1+'6.3 Inputs'!$C$13)*(1-'6.3 Inputs'!$C$20)-('6.3 Inputs'!$C$11*1.15)*0.5*'6.3 Inputs'!$C$7*'6.3 Inputs'!$C$15*(1+'6.3 Inputs'!$C$13)*'6.3 Inputs'!$C$21-(('6.3 Inputs'!$C$11*1.15)*0.5*'6.3 Inputs'!$C$7*'6.3 Inputs'!$C$15*(1+'6.3 Inputs'!$C$13)*(1-'6.3 Inputs'!$C$20))*'6.3 Inputs'!$C$22-('6.3 Inputs'!$C$11*1.15)*0.5*'6.3 Inputs'!$C$7*'6.3 Inputs'!$C$15*(1+'6.3 Inputs'!$C$13)*'6.3 Inputs'!$C$23</f>
        <v>4212965.68875</v>
      </c>
      <c r="E11" s="82" t="n">
        <f aca="false">('6.3 Inputs'!$C$11*1.15)*0.55*'6.3 Inputs'!$C$7*'6.3 Inputs'!$C$15*(1+'6.3 Inputs'!$C$13)*(1-'6.3 Inputs'!$C$20)-('6.3 Inputs'!$C$11*1.15)*0.55*'6.3 Inputs'!$C$7*'6.3 Inputs'!$C$15*(1+'6.3 Inputs'!$C$13)*'6.3 Inputs'!$C$21-(('6.3 Inputs'!$C$11*1.15)*0.55*'6.3 Inputs'!$C$7*'6.3 Inputs'!$C$15*(1+'6.3 Inputs'!$C$13)*(1-'6.3 Inputs'!$C$20))*'6.3 Inputs'!$C$22-('6.3 Inputs'!$C$11*1.15)*0.55*'6.3 Inputs'!$C$7*'6.3 Inputs'!$C$15*(1+'6.3 Inputs'!$C$13)*'6.3 Inputs'!$C$23</f>
        <v>4634262.257625</v>
      </c>
      <c r="F11" s="82" t="n">
        <f aca="false">('6.3 Inputs'!$C$11*1.15)*0.65*'6.3 Inputs'!$C$7*'6.3 Inputs'!$C$15*(1+'6.3 Inputs'!$C$13)*(1-'6.3 Inputs'!$C$20)-('6.3 Inputs'!$C$11*1.15)*0.65*'6.3 Inputs'!$C$7*'6.3 Inputs'!$C$15*(1+'6.3 Inputs'!$C$13)*'6.3 Inputs'!$C$21-(('6.3 Inputs'!$C$11*1.15)*0.65*'6.3 Inputs'!$C$7*'6.3 Inputs'!$C$15*(1+'6.3 Inputs'!$C$13)*(1-'6.3 Inputs'!$C$20))*'6.3 Inputs'!$C$22-('6.3 Inputs'!$C$11*1.15)*0.65*'6.3 Inputs'!$C$7*'6.3 Inputs'!$C$15*(1+'6.3 Inputs'!$C$13)*'6.3 Inputs'!$C$23</f>
        <v>5476855.395375</v>
      </c>
      <c r="G11" s="82" t="n">
        <f aca="false">('6.3 Inputs'!$C$11*1.15)*0.75*'6.3 Inputs'!$C$7*'6.3 Inputs'!$C$15*(1+'6.3 Inputs'!$C$13)*(1-'6.3 Inputs'!$C$20)-('6.3 Inputs'!$C$11*1.15)*0.75*'6.3 Inputs'!$C$7*'6.3 Inputs'!$C$15*(1+'6.3 Inputs'!$C$13)*'6.3 Inputs'!$C$21-(('6.3 Inputs'!$C$11*1.15)*0.75*'6.3 Inputs'!$C$7*'6.3 Inputs'!$C$15*(1+'6.3 Inputs'!$C$13)*(1-'6.3 Inputs'!$C$20))*'6.3 Inputs'!$C$22-('6.3 Inputs'!$C$11*1.15)*0.75*'6.3 Inputs'!$C$7*'6.3 Inputs'!$C$15*(1+'6.3 Inputs'!$C$13)*'6.3 Inputs'!$C$23</f>
        <v>6319448.533125</v>
      </c>
      <c r="I11" s="81" t="s">
        <v>423</v>
      </c>
      <c r="J11" s="83" t="n">
        <f aca="false">C11/'6.3 Inputs'!$C$53</f>
        <v>0.0902778361875</v>
      </c>
      <c r="K11" s="83" t="n">
        <f aca="false">D11/'6.3 Inputs'!$C$53</f>
        <v>0.100308706875</v>
      </c>
      <c r="L11" s="83" t="n">
        <f aca="false">E11/'6.3 Inputs'!$C$53</f>
        <v>0.1103395775625</v>
      </c>
      <c r="M11" s="83" t="n">
        <f aca="false">F11/'6.3 Inputs'!$C$53</f>
        <v>0.1304013189375</v>
      </c>
      <c r="N11" s="83" t="n">
        <f aca="false">G11/'6.3 Inputs'!$C$53</f>
        <v>0.1504630603125</v>
      </c>
    </row>
    <row r="13" customFormat="false" ht="15" hidden="false" customHeight="true" outlineLevel="0" collapsed="false">
      <c r="B13" s="5" t="s">
        <v>283</v>
      </c>
    </row>
    <row r="14" customFormat="false" ht="49.5" hidden="false" customHeight="true" outlineLevel="0" collapsed="false">
      <c r="B14" s="48" t="s">
        <v>424</v>
      </c>
      <c r="C14" s="48"/>
      <c r="D14" s="48"/>
      <c r="E14" s="48"/>
      <c r="F14" s="48"/>
      <c r="G14" s="48"/>
      <c r="H14" s="48"/>
      <c r="I14" s="48"/>
      <c r="J14" s="48"/>
      <c r="K14" s="48"/>
      <c r="L14" s="48"/>
      <c r="M14" s="48"/>
      <c r="N14" s="48"/>
    </row>
    <row r="16" customFormat="false" ht="15" hidden="false" customHeight="true" outlineLevel="0" collapsed="false">
      <c r="B16" s="29" t="s">
        <v>425</v>
      </c>
      <c r="C16" s="29"/>
      <c r="D16" s="29"/>
      <c r="E16" s="29"/>
      <c r="F16" s="29"/>
      <c r="G16" s="29"/>
      <c r="H16" s="29"/>
      <c r="I16" s="29"/>
      <c r="J16" s="29"/>
    </row>
    <row r="17" customFormat="false" ht="15" hidden="false" customHeight="true" outlineLevel="0" collapsed="false">
      <c r="B17" s="84" t="s">
        <v>426</v>
      </c>
      <c r="C17" s="11" t="s">
        <v>427</v>
      </c>
      <c r="D17" s="11"/>
      <c r="E17" s="11"/>
      <c r="F17" s="11"/>
      <c r="G17" s="11"/>
      <c r="H17" s="11"/>
      <c r="I17" s="11"/>
      <c r="J17" s="11"/>
    </row>
    <row r="18" customFormat="false" ht="15" hidden="false" customHeight="true" outlineLevel="0" collapsed="false">
      <c r="B18" s="85" t="s">
        <v>428</v>
      </c>
      <c r="C18" s="11" t="s">
        <v>429</v>
      </c>
      <c r="D18" s="11"/>
      <c r="E18" s="11"/>
      <c r="F18" s="11"/>
      <c r="G18" s="11"/>
      <c r="H18" s="11"/>
      <c r="I18" s="11"/>
      <c r="J18" s="11"/>
    </row>
    <row r="19" customFormat="false" ht="15" hidden="false" customHeight="true" outlineLevel="0" collapsed="false">
      <c r="B19" s="86" t="s">
        <v>430</v>
      </c>
      <c r="C19" s="11" t="s">
        <v>431</v>
      </c>
      <c r="D19" s="11"/>
      <c r="E19" s="11"/>
      <c r="F19" s="11"/>
      <c r="G19" s="11"/>
      <c r="H19" s="11"/>
      <c r="I19" s="11"/>
      <c r="J19" s="11"/>
    </row>
    <row r="21" customFormat="false" ht="60" hidden="false" customHeight="true" outlineLevel="0" collapsed="false">
      <c r="B21" s="36" t="s">
        <v>432</v>
      </c>
      <c r="C21" s="36"/>
      <c r="D21" s="36"/>
      <c r="E21" s="36"/>
      <c r="F21" s="36"/>
      <c r="G21" s="36"/>
      <c r="H21" s="36"/>
      <c r="I21" s="36"/>
      <c r="J21" s="36"/>
    </row>
    <row r="23" customFormat="false" ht="15" hidden="false" customHeight="true" outlineLevel="0" collapsed="false">
      <c r="B23" s="37" t="s">
        <v>433</v>
      </c>
      <c r="C23" s="37"/>
      <c r="D23" s="37"/>
      <c r="E23" s="37"/>
      <c r="F23" s="37"/>
      <c r="G23" s="37"/>
      <c r="H23" s="37"/>
      <c r="I23" s="37"/>
      <c r="J23" s="37"/>
    </row>
  </sheetData>
  <mergeCells count="10">
    <mergeCell ref="B3:N3"/>
    <mergeCell ref="B5:G5"/>
    <mergeCell ref="I5:N5"/>
    <mergeCell ref="B14:N14"/>
    <mergeCell ref="B16:J16"/>
    <mergeCell ref="C17:J17"/>
    <mergeCell ref="C18:J18"/>
    <mergeCell ref="C19:J19"/>
    <mergeCell ref="B21:J21"/>
    <mergeCell ref="B23:J23"/>
  </mergeCells>
  <conditionalFormatting sqref="J7:N11">
    <cfRule type="cellIs" priority="2" operator="lessThan" aboveAverage="0" equalAverage="0" bottom="0" percent="0" rank="0" text="" dxfId="0">
      <formula>0.08</formula>
    </cfRule>
    <cfRule type="cellIs" priority="3" operator="between" aboveAverage="0" equalAverage="0" bottom="0" percent="0" rank="0" text="" dxfId="1">
      <formula>0.08</formula>
      <formula>0.0999999</formula>
    </cfRule>
    <cfRule type="cellIs" priority="4" operator="greaterThanOrEqual" aboveAverage="0" equalAverage="0" bottom="0" percent="0" rank="0" text="" dxfId="2">
      <formula>0.1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64219"/>
    <pageSetUpPr fitToPage="false"/>
  </sheetPr>
  <dimension ref="B2: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50"/>
    <col collapsed="false" customWidth="true" hidden="false" outlineLevel="0" max="3" min="3" style="1" width="30"/>
    <col collapsed="false" customWidth="true" hidden="false" outlineLevel="0" max="4" min="4" style="1" width="70"/>
  </cols>
  <sheetData>
    <row r="2" customFormat="false" ht="66" hidden="false" customHeight="true" outlineLevel="0" collapsed="false">
      <c r="B2" s="12" t="s">
        <v>434</v>
      </c>
    </row>
    <row r="3" customFormat="false" ht="15" hidden="false" customHeight="true" outlineLevel="0" collapsed="false">
      <c r="B3" s="13" t="s">
        <v>435</v>
      </c>
      <c r="C3" s="13"/>
      <c r="D3" s="13"/>
    </row>
    <row r="5" customFormat="false" ht="30" hidden="false" customHeight="true" outlineLevel="0" collapsed="false">
      <c r="B5" s="21" t="s">
        <v>436</v>
      </c>
      <c r="C5" s="21" t="s">
        <v>437</v>
      </c>
      <c r="D5" s="21" t="s">
        <v>438</v>
      </c>
    </row>
    <row r="6" customFormat="false" ht="60" hidden="false" customHeight="true" outlineLevel="0" collapsed="false">
      <c r="B6" s="87" t="s">
        <v>439</v>
      </c>
      <c r="C6" s="88" t="s">
        <v>440</v>
      </c>
      <c r="D6" s="89" t="s">
        <v>441</v>
      </c>
    </row>
    <row r="7" customFormat="false" ht="60" hidden="false" customHeight="true" outlineLevel="0" collapsed="false">
      <c r="B7" s="87" t="s">
        <v>442</v>
      </c>
      <c r="C7" s="90" t="s">
        <v>443</v>
      </c>
      <c r="D7" s="89" t="s">
        <v>444</v>
      </c>
    </row>
    <row r="8" customFormat="false" ht="60" hidden="false" customHeight="true" outlineLevel="0" collapsed="false">
      <c r="B8" s="87" t="s">
        <v>445</v>
      </c>
      <c r="C8" s="25" t="s">
        <v>446</v>
      </c>
      <c r="D8" s="89" t="s">
        <v>447</v>
      </c>
    </row>
    <row r="9" customFormat="false" ht="60" hidden="false" customHeight="true" outlineLevel="0" collapsed="false">
      <c r="B9" s="87" t="s">
        <v>448</v>
      </c>
      <c r="C9" s="91" t="s">
        <v>449</v>
      </c>
      <c r="D9" s="89" t="s">
        <v>450</v>
      </c>
    </row>
    <row r="10" customFormat="false" ht="60" hidden="false" customHeight="true" outlineLevel="0" collapsed="false">
      <c r="B10" s="87" t="s">
        <v>451</v>
      </c>
      <c r="C10" s="90" t="s">
        <v>452</v>
      </c>
      <c r="D10" s="89" t="s">
        <v>453</v>
      </c>
    </row>
    <row r="12" customFormat="false" ht="15" hidden="false" customHeight="true" outlineLevel="0" collapsed="false">
      <c r="B12" s="29" t="s">
        <v>454</v>
      </c>
      <c r="C12" s="29"/>
      <c r="D12" s="29"/>
    </row>
    <row r="13" customFormat="false" ht="319.5" hidden="false" customHeight="true" outlineLevel="0" collapsed="false">
      <c r="B13" s="11" t="s">
        <v>455</v>
      </c>
      <c r="C13" s="11"/>
      <c r="D13" s="11"/>
    </row>
    <row r="15" customFormat="false" ht="49.5" hidden="false" customHeight="true" outlineLevel="0" collapsed="false">
      <c r="B15" s="36" t="s">
        <v>456</v>
      </c>
      <c r="C15" s="36"/>
      <c r="D15" s="36"/>
    </row>
  </sheetData>
  <mergeCells count="4">
    <mergeCell ref="B3:D3"/>
    <mergeCell ref="B12:D12"/>
    <mergeCell ref="B13:D13"/>
    <mergeCell ref="B15:D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64219"/>
    <pageSetUpPr fitToPage="false"/>
  </sheetPr>
  <dimension ref="B2:E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38"/>
    <col collapsed="false" customWidth="true" hidden="false" outlineLevel="0" max="4" min="3" style="1" width="18"/>
    <col collapsed="false" customWidth="true" hidden="false" outlineLevel="0" max="5" min="5" style="1" width="50"/>
  </cols>
  <sheetData>
    <row r="2" customFormat="false" ht="66" hidden="false" customHeight="true" outlineLevel="0" collapsed="false">
      <c r="B2" s="12" t="s">
        <v>457</v>
      </c>
    </row>
    <row r="3" customFormat="false" ht="15" hidden="false" customHeight="true" outlineLevel="0" collapsed="false">
      <c r="B3" s="13" t="s">
        <v>458</v>
      </c>
      <c r="C3" s="13"/>
      <c r="D3" s="13"/>
      <c r="E3" s="13"/>
    </row>
    <row r="5" customFormat="false" ht="30" hidden="false" customHeight="true" outlineLevel="0" collapsed="false">
      <c r="B5" s="21" t="s">
        <v>436</v>
      </c>
      <c r="C5" s="21" t="s">
        <v>459</v>
      </c>
      <c r="D5" s="21" t="s">
        <v>460</v>
      </c>
      <c r="E5" s="21" t="s">
        <v>348</v>
      </c>
    </row>
    <row r="6" customFormat="false" ht="21.75" hidden="false" customHeight="true" outlineLevel="0" collapsed="false">
      <c r="B6" s="92" t="s">
        <v>195</v>
      </c>
      <c r="C6" s="83"/>
      <c r="D6" s="83" t="n">
        <f aca="false">'6.3 Inputs'!$C$39</f>
        <v>0.25</v>
      </c>
      <c r="E6" s="40" t="s">
        <v>461</v>
      </c>
    </row>
    <row r="7" customFormat="false" ht="21.75" hidden="false" customHeight="true" outlineLevel="0" collapsed="false">
      <c r="B7" s="92" t="s">
        <v>197</v>
      </c>
      <c r="C7" s="93"/>
      <c r="D7" s="93" t="n">
        <f aca="false">'6.3 Inputs'!$C$40</f>
        <v>500000000</v>
      </c>
      <c r="E7" s="40" t="s">
        <v>462</v>
      </c>
    </row>
    <row r="8" customFormat="false" ht="21.75" hidden="false" customHeight="true" outlineLevel="0" collapsed="false">
      <c r="B8" s="92" t="s">
        <v>463</v>
      </c>
      <c r="C8" s="94"/>
      <c r="D8" s="94" t="n">
        <f aca="false">'6.3 Inputs'!$C$41</f>
        <v>119.5</v>
      </c>
      <c r="E8" s="40" t="s">
        <v>464</v>
      </c>
    </row>
    <row r="9" customFormat="false" ht="21.75" hidden="false" customHeight="true" outlineLevel="0" collapsed="false">
      <c r="B9" s="92" t="s">
        <v>465</v>
      </c>
      <c r="C9" s="82"/>
      <c r="D9" s="82" t="n">
        <f aca="false">'6.3 Inputs'!$C$56</f>
        <v>4184100.41841004</v>
      </c>
      <c r="E9" s="40" t="s">
        <v>466</v>
      </c>
    </row>
    <row r="10" customFormat="false" ht="21.75" hidden="false" customHeight="true" outlineLevel="0" collapsed="false">
      <c r="B10" s="92" t="s">
        <v>467</v>
      </c>
      <c r="C10" s="82"/>
      <c r="D10" s="82" t="n">
        <f aca="false">'6.3 Inputs'!$C$57</f>
        <v>10500000</v>
      </c>
      <c r="E10" s="40" t="s">
        <v>468</v>
      </c>
    </row>
    <row r="11" customFormat="false" ht="21.75" hidden="false" customHeight="true" outlineLevel="0" collapsed="false">
      <c r="B11" s="92" t="s">
        <v>469</v>
      </c>
      <c r="C11" s="82"/>
      <c r="D11" s="82" t="n">
        <f aca="false">'6.3 Inputs'!$C$58</f>
        <v>4184100.41841004</v>
      </c>
      <c r="E11" s="40" t="s">
        <v>470</v>
      </c>
    </row>
    <row r="12" customFormat="false" ht="21.75" hidden="false" customHeight="true" outlineLevel="0" collapsed="false">
      <c r="B12" s="92" t="s">
        <v>328</v>
      </c>
      <c r="C12" s="82" t="n">
        <f aca="false">'6.3 Inputs'!$C$53</f>
        <v>42000000</v>
      </c>
      <c r="D12" s="82" t="n">
        <f aca="false">'6.3 Inputs'!$C$53-'6.3 Inputs'!$C$58</f>
        <v>37815899.58159</v>
      </c>
      <c r="E12" s="40" t="s">
        <v>471</v>
      </c>
    </row>
    <row r="13" customFormat="false" ht="21.75" hidden="false" customHeight="true" outlineLevel="0" collapsed="false">
      <c r="B13" s="92" t="s">
        <v>472</v>
      </c>
      <c r="C13" s="82" t="n">
        <f aca="false">'6.3.2 Rev-NOI'!$C$33</f>
        <v>4762482.9525</v>
      </c>
      <c r="D13" s="82" t="n">
        <f aca="false">'6.3.2 Rev-NOI'!$C$33</f>
        <v>4762482.9525</v>
      </c>
      <c r="E13" s="40" t="s">
        <v>473</v>
      </c>
    </row>
    <row r="14" customFormat="false" ht="21.75" hidden="false" customHeight="true" outlineLevel="0" collapsed="false">
      <c r="B14" s="92" t="s">
        <v>474</v>
      </c>
      <c r="C14" s="82" t="n">
        <f aca="false">'6.3.2 Rev-NOI'!$E$33</f>
        <v>3113931.16125</v>
      </c>
      <c r="D14" s="82" t="n">
        <f aca="false">'6.3.2 Rev-NOI'!$E$33</f>
        <v>3113931.16125</v>
      </c>
      <c r="E14" s="40" t="s">
        <v>475</v>
      </c>
    </row>
    <row r="15" customFormat="false" ht="21.75" hidden="false" customHeight="true" outlineLevel="0" collapsed="false">
      <c r="B15" s="92" t="s">
        <v>476</v>
      </c>
      <c r="C15" s="83" t="n">
        <f aca="false">'6.3.2 Rev-NOI'!$C$33/'6.3 Inputs'!$C$53</f>
        <v>0.11339245125</v>
      </c>
      <c r="D15" s="83" t="n">
        <f aca="false">'6.3.2 Rev-NOI'!$C$33/('6.3 Inputs'!$C$53-'6.3 Inputs'!$C$58)</f>
        <v>0.125938639704304</v>
      </c>
      <c r="E15" s="40" t="s">
        <v>477</v>
      </c>
    </row>
    <row r="16" customFormat="false" ht="21.75" hidden="false" customHeight="true" outlineLevel="0" collapsed="false">
      <c r="B16" s="92" t="s">
        <v>478</v>
      </c>
      <c r="C16" s="83" t="n">
        <f aca="false">'6.3.2 Rev-NOI'!$E$33/'6.3 Inputs'!$C$53</f>
        <v>0.074141218125</v>
      </c>
      <c r="D16" s="83" t="n">
        <f aca="false">'6.3.2 Rev-NOI'!$E$33/('6.3 Inputs'!$C$53-'6.3 Inputs'!$C$58)</f>
        <v>0.0823444951912757</v>
      </c>
      <c r="E16" s="40" t="s">
        <v>479</v>
      </c>
    </row>
    <row r="19" customFormat="false" ht="21.75" hidden="false" customHeight="true" outlineLevel="0" collapsed="false">
      <c r="B19" s="6" t="s">
        <v>480</v>
      </c>
      <c r="C19" s="6"/>
      <c r="D19" s="6"/>
      <c r="E19" s="6"/>
    </row>
    <row r="20" customFormat="false" ht="79.5" hidden="false" customHeight="true" outlineLevel="0" collapsed="false">
      <c r="B20" s="48" t="s">
        <v>481</v>
      </c>
      <c r="C20" s="48"/>
      <c r="D20" s="48"/>
      <c r="E20" s="48"/>
    </row>
  </sheetData>
  <mergeCells count="3">
    <mergeCell ref="B3:E3"/>
    <mergeCell ref="B19:E19"/>
    <mergeCell ref="B20:E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4B2F"/>
    <pageSetUpPr fitToPage="false"/>
  </sheetPr>
  <dimension ref="B2:N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18"/>
    <col collapsed="false" customWidth="true" hidden="false" outlineLevel="0" max="7" min="3" style="1" width="14"/>
    <col collapsed="false" customWidth="true" hidden="false" outlineLevel="0" max="8" min="8" style="1" width="3"/>
    <col collapsed="false" customWidth="true" hidden="false" outlineLevel="0" max="9" min="9" style="1" width="18"/>
    <col collapsed="false" customWidth="true" hidden="false" outlineLevel="0" max="14" min="10" style="1" width="14"/>
  </cols>
  <sheetData>
    <row r="2" customFormat="false" ht="131.25" hidden="false" customHeight="true" outlineLevel="0" collapsed="false">
      <c r="B2" s="12" t="s">
        <v>482</v>
      </c>
    </row>
    <row r="3" customFormat="false" ht="15" hidden="false" customHeight="true" outlineLevel="0" collapsed="false">
      <c r="B3" s="13" t="s">
        <v>483</v>
      </c>
      <c r="C3" s="13"/>
      <c r="D3" s="13"/>
      <c r="E3" s="13"/>
      <c r="F3" s="13"/>
      <c r="G3" s="13"/>
      <c r="H3" s="13"/>
      <c r="I3" s="13"/>
      <c r="J3" s="13"/>
      <c r="K3" s="13"/>
      <c r="L3" s="13"/>
      <c r="M3" s="13"/>
      <c r="N3" s="13"/>
    </row>
    <row r="5" customFormat="false" ht="21.75" hidden="false" customHeight="true" outlineLevel="0" collapsed="false">
      <c r="B5" s="6" t="s">
        <v>484</v>
      </c>
      <c r="C5" s="6"/>
      <c r="D5" s="6"/>
      <c r="E5" s="6"/>
      <c r="F5" s="6"/>
      <c r="G5" s="6"/>
      <c r="I5" s="6" t="s">
        <v>485</v>
      </c>
      <c r="J5" s="6"/>
      <c r="K5" s="6"/>
      <c r="L5" s="6"/>
      <c r="M5" s="6"/>
      <c r="N5" s="6"/>
    </row>
    <row r="6" customFormat="false" ht="27.75" hidden="false" customHeight="true" outlineLevel="0" collapsed="false">
      <c r="B6" s="21" t="s">
        <v>486</v>
      </c>
      <c r="C6" s="21" t="s">
        <v>487</v>
      </c>
      <c r="D6" s="21" t="s">
        <v>488</v>
      </c>
      <c r="E6" s="21" t="s">
        <v>489</v>
      </c>
      <c r="F6" s="21" t="s">
        <v>490</v>
      </c>
      <c r="G6" s="21" t="s">
        <v>491</v>
      </c>
      <c r="I6" s="21" t="s">
        <v>486</v>
      </c>
      <c r="J6" s="21" t="s">
        <v>487</v>
      </c>
      <c r="K6" s="21" t="s">
        <v>488</v>
      </c>
      <c r="L6" s="21" t="s">
        <v>489</v>
      </c>
      <c r="M6" s="21" t="s">
        <v>490</v>
      </c>
      <c r="N6" s="21" t="s">
        <v>491</v>
      </c>
    </row>
    <row r="7" customFormat="false" ht="15" hidden="false" customHeight="true" outlineLevel="0" collapsed="false">
      <c r="B7" s="81" t="s">
        <v>492</v>
      </c>
      <c r="C7" s="82" t="n">
        <f aca="false">('6.3.1 Demand-Rev'!$C$17*(1-0.67)-'6.3.1 Demand-Rev'!$C$17*'6.3 Inputs'!$C$21-'6.3.1 Demand-Rev'!$C$17*(1-0.67)*'6.3 Inputs'!$C$22-'6.3.1 Demand-Rev'!$C$17*'6.3 Inputs'!$C$23)/0.055</f>
        <v>1.55018181818182</v>
      </c>
      <c r="D7" s="82" t="n">
        <f aca="false">('6.3.1 Demand-Rev'!$C$17*(1-0.67)-'6.3.1 Demand-Rev'!$C$17*'6.3 Inputs'!$C$21-'6.3.1 Demand-Rev'!$C$17*(1-0.67)*'6.3 Inputs'!$C$22-'6.3.1 Demand-Rev'!$C$17*'6.3 Inputs'!$C$23)/0.06</f>
        <v>1.421</v>
      </c>
      <c r="E7" s="82" t="n">
        <f aca="false">('6.3.1 Demand-Rev'!$C$17*(1-0.67)-'6.3.1 Demand-Rev'!$C$17*'6.3 Inputs'!$C$21-'6.3.1 Demand-Rev'!$C$17*(1-0.67)*'6.3 Inputs'!$C$22-'6.3.1 Demand-Rev'!$C$17*'6.3 Inputs'!$C$23)/0.065</f>
        <v>1.31169230769231</v>
      </c>
      <c r="F7" s="82" t="n">
        <f aca="false">('6.3.1 Demand-Rev'!$C$17*(1-0.67)-'6.3.1 Demand-Rev'!$C$17*'6.3 Inputs'!$C$21-'6.3.1 Demand-Rev'!$C$17*(1-0.67)*'6.3 Inputs'!$C$22-'6.3.1 Demand-Rev'!$C$17*'6.3 Inputs'!$C$23)/0.07</f>
        <v>1.218</v>
      </c>
      <c r="G7" s="82" t="n">
        <f aca="false">('6.3.1 Demand-Rev'!$C$17*(1-0.67)-'6.3.1 Demand-Rev'!$C$17*'6.3 Inputs'!$C$21-'6.3.1 Demand-Rev'!$C$17*(1-0.67)*'6.3 Inputs'!$C$22-'6.3.1 Demand-Rev'!$C$17*'6.3 Inputs'!$C$23)/0.075</f>
        <v>1.1368</v>
      </c>
      <c r="I7" s="81" t="s">
        <v>492</v>
      </c>
      <c r="J7" s="83" t="n">
        <f aca="false">('6.3.1 Demand-Rev'!$C$17*(1-0.67)-'6.3.1 Demand-Rev'!$C$17*'6.3 Inputs'!$C$21-'6.3.1 Demand-Rev'!$C$17*(1-0.67)*'6.3 Inputs'!$C$22-'6.3.1 Demand-Rev'!$C$17*'6.3 Inputs'!$C$23)/'6.3 Inputs'!$C$53-0.055</f>
        <v>-0.05499999797</v>
      </c>
      <c r="K7" s="83" t="n">
        <f aca="false">('6.3.1 Demand-Rev'!$C$17*(1-0.67)-'6.3.1 Demand-Rev'!$C$17*'6.3 Inputs'!$C$21-'6.3.1 Demand-Rev'!$C$17*(1-0.67)*'6.3 Inputs'!$C$22-'6.3.1 Demand-Rev'!$C$17*'6.3 Inputs'!$C$23)/'6.3 Inputs'!$C$53-0.06</f>
        <v>-0.05999999797</v>
      </c>
      <c r="L7" s="83" t="n">
        <f aca="false">('6.3.1 Demand-Rev'!$C$17*(1-0.67)-'6.3.1 Demand-Rev'!$C$17*'6.3 Inputs'!$C$21-'6.3.1 Demand-Rev'!$C$17*(1-0.67)*'6.3 Inputs'!$C$22-'6.3.1 Demand-Rev'!$C$17*'6.3 Inputs'!$C$23)/'6.3 Inputs'!$C$53-0.065</f>
        <v>-0.06499999797</v>
      </c>
      <c r="M7" s="83" t="n">
        <f aca="false">('6.3.1 Demand-Rev'!$C$17*(1-0.67)-'6.3.1 Demand-Rev'!$C$17*'6.3 Inputs'!$C$21-'6.3.1 Demand-Rev'!$C$17*(1-0.67)*'6.3 Inputs'!$C$22-'6.3.1 Demand-Rev'!$C$17*'6.3 Inputs'!$C$23)/'6.3 Inputs'!$C$53-0.07</f>
        <v>-0.06999999797</v>
      </c>
      <c r="N7" s="83" t="n">
        <f aca="false">('6.3.1 Demand-Rev'!$C$17*(1-0.67)-'6.3.1 Demand-Rev'!$C$17*'6.3 Inputs'!$C$21-'6.3.1 Demand-Rev'!$C$17*(1-0.67)*'6.3 Inputs'!$C$22-'6.3.1 Demand-Rev'!$C$17*'6.3 Inputs'!$C$23)/'6.3 Inputs'!$C$53-0.075</f>
        <v>-0.07499999797</v>
      </c>
    </row>
    <row r="8" customFormat="false" ht="15" hidden="false" customHeight="true" outlineLevel="0" collapsed="false">
      <c r="B8" s="81" t="s">
        <v>493</v>
      </c>
      <c r="C8" s="82" t="n">
        <f aca="false">('6.3.1 Demand-Rev'!$C$17*(1-0.7)-'6.3.1 Demand-Rev'!$C$17*'6.3 Inputs'!$C$21-'6.3.1 Demand-Rev'!$C$17*(1-0.7)*'6.3 Inputs'!$C$22-'6.3.1 Demand-Rev'!$C$17*'6.3 Inputs'!$C$23)/0.055</f>
        <v>1.37454545454545</v>
      </c>
      <c r="D8" s="82" t="n">
        <f aca="false">('6.3.1 Demand-Rev'!$C$17*(1-0.7)-'6.3.1 Demand-Rev'!$C$17*'6.3 Inputs'!$C$21-'6.3.1 Demand-Rev'!$C$17*(1-0.7)*'6.3 Inputs'!$C$22-'6.3.1 Demand-Rev'!$C$17*'6.3 Inputs'!$C$23)/0.06</f>
        <v>1.26</v>
      </c>
      <c r="E8" s="82" t="n">
        <f aca="false">('6.3.1 Demand-Rev'!$C$17*(1-0.7)-'6.3.1 Demand-Rev'!$C$17*'6.3 Inputs'!$C$21-'6.3.1 Demand-Rev'!$C$17*(1-0.7)*'6.3 Inputs'!$C$22-'6.3.1 Demand-Rev'!$C$17*'6.3 Inputs'!$C$23)/0.065</f>
        <v>1.16307692307692</v>
      </c>
      <c r="F8" s="82" t="n">
        <f aca="false">('6.3.1 Demand-Rev'!$C$17*(1-0.7)-'6.3.1 Demand-Rev'!$C$17*'6.3 Inputs'!$C$21-'6.3.1 Demand-Rev'!$C$17*(1-0.7)*'6.3 Inputs'!$C$22-'6.3.1 Demand-Rev'!$C$17*'6.3 Inputs'!$C$23)/0.07</f>
        <v>1.08</v>
      </c>
      <c r="G8" s="82" t="n">
        <f aca="false">('6.3.1 Demand-Rev'!$C$17*(1-0.7)-'6.3.1 Demand-Rev'!$C$17*'6.3 Inputs'!$C$21-'6.3.1 Demand-Rev'!$C$17*(1-0.7)*'6.3 Inputs'!$C$22-'6.3.1 Demand-Rev'!$C$17*'6.3 Inputs'!$C$23)/0.075</f>
        <v>1.008</v>
      </c>
      <c r="I8" s="81" t="s">
        <v>493</v>
      </c>
      <c r="J8" s="83" t="n">
        <f aca="false">('6.3.1 Demand-Rev'!$C$17*(1-0.7)-'6.3.1 Demand-Rev'!$C$17*'6.3 Inputs'!$C$21-'6.3.1 Demand-Rev'!$C$17*(1-0.7)*'6.3 Inputs'!$C$22-'6.3.1 Demand-Rev'!$C$17*'6.3 Inputs'!$C$23)/'6.3 Inputs'!$C$53-0.055</f>
        <v>-0.0549999982</v>
      </c>
      <c r="K8" s="83" t="n">
        <f aca="false">('6.3.1 Demand-Rev'!$C$17*(1-0.7)-'6.3.1 Demand-Rev'!$C$17*'6.3 Inputs'!$C$21-'6.3.1 Demand-Rev'!$C$17*(1-0.7)*'6.3 Inputs'!$C$22-'6.3.1 Demand-Rev'!$C$17*'6.3 Inputs'!$C$23)/'6.3 Inputs'!$C$53-0.06</f>
        <v>-0.0599999982</v>
      </c>
      <c r="L8" s="83" t="n">
        <f aca="false">('6.3.1 Demand-Rev'!$C$17*(1-0.7)-'6.3.1 Demand-Rev'!$C$17*'6.3 Inputs'!$C$21-'6.3.1 Demand-Rev'!$C$17*(1-0.7)*'6.3 Inputs'!$C$22-'6.3.1 Demand-Rev'!$C$17*'6.3 Inputs'!$C$23)/'6.3 Inputs'!$C$53-0.065</f>
        <v>-0.0649999982</v>
      </c>
      <c r="M8" s="83" t="n">
        <f aca="false">('6.3.1 Demand-Rev'!$C$17*(1-0.7)-'6.3.1 Demand-Rev'!$C$17*'6.3 Inputs'!$C$21-'6.3.1 Demand-Rev'!$C$17*(1-0.7)*'6.3 Inputs'!$C$22-'6.3.1 Demand-Rev'!$C$17*'6.3 Inputs'!$C$23)/'6.3 Inputs'!$C$53-0.07</f>
        <v>-0.0699999982</v>
      </c>
      <c r="N8" s="83" t="n">
        <f aca="false">('6.3.1 Demand-Rev'!$C$17*(1-0.7)-'6.3.1 Demand-Rev'!$C$17*'6.3 Inputs'!$C$21-'6.3.1 Demand-Rev'!$C$17*(1-0.7)*'6.3 Inputs'!$C$22-'6.3.1 Demand-Rev'!$C$17*'6.3 Inputs'!$C$23)/'6.3 Inputs'!$C$53-0.075</f>
        <v>-0.0749999982</v>
      </c>
    </row>
    <row r="9" customFormat="false" ht="15" hidden="false" customHeight="true" outlineLevel="0" collapsed="false">
      <c r="B9" s="81" t="s">
        <v>494</v>
      </c>
      <c r="C9" s="82" t="n">
        <f aca="false">('6.3.1 Demand-Rev'!$C$17*(1-0.72)-'6.3.1 Demand-Rev'!$C$17*'6.3 Inputs'!$C$21-'6.3.1 Demand-Rev'!$C$17*(1-0.72)*'6.3 Inputs'!$C$22-'6.3.1 Demand-Rev'!$C$17*'6.3 Inputs'!$C$23)/0.055</f>
        <v>1.25745454545455</v>
      </c>
      <c r="D9" s="82" t="n">
        <f aca="false">('6.3.1 Demand-Rev'!$C$17*(1-0.72)-'6.3.1 Demand-Rev'!$C$17*'6.3 Inputs'!$C$21-'6.3.1 Demand-Rev'!$C$17*(1-0.72)*'6.3 Inputs'!$C$22-'6.3.1 Demand-Rev'!$C$17*'6.3 Inputs'!$C$23)/0.06</f>
        <v>1.15266666666667</v>
      </c>
      <c r="E9" s="82" t="n">
        <f aca="false">('6.3.1 Demand-Rev'!$C$17*(1-0.72)-'6.3.1 Demand-Rev'!$C$17*'6.3 Inputs'!$C$21-'6.3.1 Demand-Rev'!$C$17*(1-0.72)*'6.3 Inputs'!$C$22-'6.3.1 Demand-Rev'!$C$17*'6.3 Inputs'!$C$23)/0.065</f>
        <v>1.064</v>
      </c>
      <c r="F9" s="82" t="n">
        <f aca="false">('6.3.1 Demand-Rev'!$C$17*(1-0.72)-'6.3.1 Demand-Rev'!$C$17*'6.3 Inputs'!$C$21-'6.3.1 Demand-Rev'!$C$17*(1-0.72)*'6.3 Inputs'!$C$22-'6.3.1 Demand-Rev'!$C$17*'6.3 Inputs'!$C$23)/0.07</f>
        <v>0.988</v>
      </c>
      <c r="G9" s="82" t="n">
        <f aca="false">('6.3.1 Demand-Rev'!$C$17*(1-0.72)-'6.3.1 Demand-Rev'!$C$17*'6.3 Inputs'!$C$21-'6.3.1 Demand-Rev'!$C$17*(1-0.72)*'6.3 Inputs'!$C$22-'6.3.1 Demand-Rev'!$C$17*'6.3 Inputs'!$C$23)/0.075</f>
        <v>0.922133333333334</v>
      </c>
      <c r="I9" s="81" t="s">
        <v>494</v>
      </c>
      <c r="J9" s="83" t="n">
        <f aca="false">('6.3.1 Demand-Rev'!$C$17*(1-0.72)-'6.3.1 Demand-Rev'!$C$17*'6.3 Inputs'!$C$21-'6.3.1 Demand-Rev'!$C$17*(1-0.72)*'6.3 Inputs'!$C$22-'6.3.1 Demand-Rev'!$C$17*'6.3 Inputs'!$C$23)/'6.3 Inputs'!$C$53-0.055</f>
        <v>-0.0549999983533333</v>
      </c>
      <c r="K9" s="83" t="n">
        <f aca="false">('6.3.1 Demand-Rev'!$C$17*(1-0.72)-'6.3.1 Demand-Rev'!$C$17*'6.3 Inputs'!$C$21-'6.3.1 Demand-Rev'!$C$17*(1-0.72)*'6.3 Inputs'!$C$22-'6.3.1 Demand-Rev'!$C$17*'6.3 Inputs'!$C$23)/'6.3 Inputs'!$C$53-0.06</f>
        <v>-0.0599999983533333</v>
      </c>
      <c r="L9" s="83" t="n">
        <f aca="false">('6.3.1 Demand-Rev'!$C$17*(1-0.72)-'6.3.1 Demand-Rev'!$C$17*'6.3 Inputs'!$C$21-'6.3.1 Demand-Rev'!$C$17*(1-0.72)*'6.3 Inputs'!$C$22-'6.3.1 Demand-Rev'!$C$17*'6.3 Inputs'!$C$23)/'6.3 Inputs'!$C$53-0.065</f>
        <v>-0.0649999983533333</v>
      </c>
      <c r="M9" s="83" t="n">
        <f aca="false">('6.3.1 Demand-Rev'!$C$17*(1-0.72)-'6.3.1 Demand-Rev'!$C$17*'6.3 Inputs'!$C$21-'6.3.1 Demand-Rev'!$C$17*(1-0.72)*'6.3 Inputs'!$C$22-'6.3.1 Demand-Rev'!$C$17*'6.3 Inputs'!$C$23)/'6.3 Inputs'!$C$53-0.07</f>
        <v>-0.0699999983533333</v>
      </c>
      <c r="N9" s="83" t="n">
        <f aca="false">('6.3.1 Demand-Rev'!$C$17*(1-0.72)-'6.3.1 Demand-Rev'!$C$17*'6.3 Inputs'!$C$21-'6.3.1 Demand-Rev'!$C$17*(1-0.72)*'6.3 Inputs'!$C$22-'6.3.1 Demand-Rev'!$C$17*'6.3 Inputs'!$C$23)/'6.3 Inputs'!$C$53-0.075</f>
        <v>-0.0749999983533333</v>
      </c>
    </row>
    <row r="10" customFormat="false" ht="15" hidden="false" customHeight="true" outlineLevel="0" collapsed="false">
      <c r="B10" s="81" t="s">
        <v>495</v>
      </c>
      <c r="C10" s="82" t="n">
        <f aca="false">('6.3.1 Demand-Rev'!$C$17*(1-0.75)-'6.3.1 Demand-Rev'!$C$17*'6.3 Inputs'!$C$21-'6.3.1 Demand-Rev'!$C$17*(1-0.75)*'6.3 Inputs'!$C$22-'6.3.1 Demand-Rev'!$C$17*'6.3 Inputs'!$C$23)/0.055</f>
        <v>1.08181818181818</v>
      </c>
      <c r="D10" s="82" t="n">
        <f aca="false">('6.3.1 Demand-Rev'!$C$17*(1-0.75)-'6.3.1 Demand-Rev'!$C$17*'6.3 Inputs'!$C$21-'6.3.1 Demand-Rev'!$C$17*(1-0.75)*'6.3 Inputs'!$C$22-'6.3.1 Demand-Rev'!$C$17*'6.3 Inputs'!$C$23)/0.06</f>
        <v>0.991666666666667</v>
      </c>
      <c r="E10" s="82" t="n">
        <f aca="false">('6.3.1 Demand-Rev'!$C$17*(1-0.75)-'6.3.1 Demand-Rev'!$C$17*'6.3 Inputs'!$C$21-'6.3.1 Demand-Rev'!$C$17*(1-0.75)*'6.3 Inputs'!$C$22-'6.3.1 Demand-Rev'!$C$17*'6.3 Inputs'!$C$23)/0.065</f>
        <v>0.915384615384616</v>
      </c>
      <c r="F10" s="82" t="n">
        <f aca="false">('6.3.1 Demand-Rev'!$C$17*(1-0.75)-'6.3.1 Demand-Rev'!$C$17*'6.3 Inputs'!$C$21-'6.3.1 Demand-Rev'!$C$17*(1-0.75)*'6.3 Inputs'!$C$22-'6.3.1 Demand-Rev'!$C$17*'6.3 Inputs'!$C$23)/0.07</f>
        <v>0.85</v>
      </c>
      <c r="G10" s="82" t="n">
        <f aca="false">('6.3.1 Demand-Rev'!$C$17*(1-0.75)-'6.3.1 Demand-Rev'!$C$17*'6.3 Inputs'!$C$21-'6.3.1 Demand-Rev'!$C$17*(1-0.75)*'6.3 Inputs'!$C$22-'6.3.1 Demand-Rev'!$C$17*'6.3 Inputs'!$C$23)/0.075</f>
        <v>0.793333333333334</v>
      </c>
      <c r="I10" s="81" t="s">
        <v>495</v>
      </c>
      <c r="J10" s="83" t="n">
        <f aca="false">('6.3.1 Demand-Rev'!$C$17*(1-0.75)-'6.3.1 Demand-Rev'!$C$17*'6.3 Inputs'!$C$21-'6.3.1 Demand-Rev'!$C$17*(1-0.75)*'6.3 Inputs'!$C$22-'6.3.1 Demand-Rev'!$C$17*'6.3 Inputs'!$C$23)/'6.3 Inputs'!$C$53-0.055</f>
        <v>-0.0549999985833333</v>
      </c>
      <c r="K10" s="83" t="n">
        <f aca="false">('6.3.1 Demand-Rev'!$C$17*(1-0.75)-'6.3.1 Demand-Rev'!$C$17*'6.3 Inputs'!$C$21-'6.3.1 Demand-Rev'!$C$17*(1-0.75)*'6.3 Inputs'!$C$22-'6.3.1 Demand-Rev'!$C$17*'6.3 Inputs'!$C$23)/'6.3 Inputs'!$C$53-0.06</f>
        <v>-0.0599999985833333</v>
      </c>
      <c r="L10" s="83" t="n">
        <f aca="false">('6.3.1 Demand-Rev'!$C$17*(1-0.75)-'6.3.1 Demand-Rev'!$C$17*'6.3 Inputs'!$C$21-'6.3.1 Demand-Rev'!$C$17*(1-0.75)*'6.3 Inputs'!$C$22-'6.3.1 Demand-Rev'!$C$17*'6.3 Inputs'!$C$23)/'6.3 Inputs'!$C$53-0.065</f>
        <v>-0.0649999985833333</v>
      </c>
      <c r="M10" s="83" t="n">
        <f aca="false">('6.3.1 Demand-Rev'!$C$17*(1-0.75)-'6.3.1 Demand-Rev'!$C$17*'6.3 Inputs'!$C$21-'6.3.1 Demand-Rev'!$C$17*(1-0.75)*'6.3 Inputs'!$C$22-'6.3.1 Demand-Rev'!$C$17*'6.3 Inputs'!$C$23)/'6.3 Inputs'!$C$53-0.07</f>
        <v>-0.0699999985833333</v>
      </c>
      <c r="N10" s="83" t="n">
        <f aca="false">('6.3.1 Demand-Rev'!$C$17*(1-0.75)-'6.3.1 Demand-Rev'!$C$17*'6.3 Inputs'!$C$21-'6.3.1 Demand-Rev'!$C$17*(1-0.75)*'6.3 Inputs'!$C$22-'6.3.1 Demand-Rev'!$C$17*'6.3 Inputs'!$C$23)/'6.3 Inputs'!$C$53-0.075</f>
        <v>-0.0749999985833333</v>
      </c>
    </row>
    <row r="11" customFormat="false" ht="15" hidden="false" customHeight="true" outlineLevel="0" collapsed="false">
      <c r="B11" s="81" t="s">
        <v>496</v>
      </c>
      <c r="C11" s="82" t="n">
        <f aca="false">('6.3.1 Demand-Rev'!$C$17*(1-0.78)-'6.3.1 Demand-Rev'!$C$17*'6.3 Inputs'!$C$21-'6.3.1 Demand-Rev'!$C$17*(1-0.78)*'6.3 Inputs'!$C$22-'6.3.1 Demand-Rev'!$C$17*'6.3 Inputs'!$C$23)/0.055</f>
        <v>0.906181818181818</v>
      </c>
      <c r="D11" s="82" t="n">
        <f aca="false">('6.3.1 Demand-Rev'!$C$17*(1-0.78)-'6.3.1 Demand-Rev'!$C$17*'6.3 Inputs'!$C$21-'6.3.1 Demand-Rev'!$C$17*(1-0.78)*'6.3 Inputs'!$C$22-'6.3.1 Demand-Rev'!$C$17*'6.3 Inputs'!$C$23)/0.06</f>
        <v>0.830666666666667</v>
      </c>
      <c r="E11" s="82" t="n">
        <f aca="false">('6.3.1 Demand-Rev'!$C$17*(1-0.78)-'6.3.1 Demand-Rev'!$C$17*'6.3 Inputs'!$C$21-'6.3.1 Demand-Rev'!$C$17*(1-0.78)*'6.3 Inputs'!$C$22-'6.3.1 Demand-Rev'!$C$17*'6.3 Inputs'!$C$23)/0.065</f>
        <v>0.766769230769231</v>
      </c>
      <c r="F11" s="82" t="n">
        <f aca="false">('6.3.1 Demand-Rev'!$C$17*(1-0.78)-'6.3.1 Demand-Rev'!$C$17*'6.3 Inputs'!$C$21-'6.3.1 Demand-Rev'!$C$17*(1-0.78)*'6.3 Inputs'!$C$22-'6.3.1 Demand-Rev'!$C$17*'6.3 Inputs'!$C$23)/0.07</f>
        <v>0.712</v>
      </c>
      <c r="G11" s="82" t="n">
        <f aca="false">('6.3.1 Demand-Rev'!$C$17*(1-0.78)-'6.3.1 Demand-Rev'!$C$17*'6.3 Inputs'!$C$21-'6.3.1 Demand-Rev'!$C$17*(1-0.78)*'6.3 Inputs'!$C$22-'6.3.1 Demand-Rev'!$C$17*'6.3 Inputs'!$C$23)/0.075</f>
        <v>0.664533333333333</v>
      </c>
      <c r="I11" s="81" t="s">
        <v>496</v>
      </c>
      <c r="J11" s="83" t="n">
        <f aca="false">('6.3.1 Demand-Rev'!$C$17*(1-0.78)-'6.3.1 Demand-Rev'!$C$17*'6.3 Inputs'!$C$21-'6.3.1 Demand-Rev'!$C$17*(1-0.78)*'6.3 Inputs'!$C$22-'6.3.1 Demand-Rev'!$C$17*'6.3 Inputs'!$C$23)/'6.3 Inputs'!$C$53-0.055</f>
        <v>-0.0549999988133333</v>
      </c>
      <c r="K11" s="83" t="n">
        <f aca="false">('6.3.1 Demand-Rev'!$C$17*(1-0.78)-'6.3.1 Demand-Rev'!$C$17*'6.3 Inputs'!$C$21-'6.3.1 Demand-Rev'!$C$17*(1-0.78)*'6.3 Inputs'!$C$22-'6.3.1 Demand-Rev'!$C$17*'6.3 Inputs'!$C$23)/'6.3 Inputs'!$C$53-0.06</f>
        <v>-0.0599999988133333</v>
      </c>
      <c r="L11" s="83" t="n">
        <f aca="false">('6.3.1 Demand-Rev'!$C$17*(1-0.78)-'6.3.1 Demand-Rev'!$C$17*'6.3 Inputs'!$C$21-'6.3.1 Demand-Rev'!$C$17*(1-0.78)*'6.3 Inputs'!$C$22-'6.3.1 Demand-Rev'!$C$17*'6.3 Inputs'!$C$23)/'6.3 Inputs'!$C$53-0.065</f>
        <v>-0.0649999988133333</v>
      </c>
      <c r="M11" s="83" t="n">
        <f aca="false">('6.3.1 Demand-Rev'!$C$17*(1-0.78)-'6.3.1 Demand-Rev'!$C$17*'6.3 Inputs'!$C$21-'6.3.1 Demand-Rev'!$C$17*(1-0.78)*'6.3 Inputs'!$C$22-'6.3.1 Demand-Rev'!$C$17*'6.3 Inputs'!$C$23)/'6.3 Inputs'!$C$53-0.07</f>
        <v>-0.0699999988133333</v>
      </c>
      <c r="N11" s="83" t="n">
        <f aca="false">('6.3.1 Demand-Rev'!$C$17*(1-0.78)-'6.3.1 Demand-Rev'!$C$17*'6.3 Inputs'!$C$21-'6.3.1 Demand-Rev'!$C$17*(1-0.78)*'6.3 Inputs'!$C$22-'6.3.1 Demand-Rev'!$C$17*'6.3 Inputs'!$C$23)/'6.3 Inputs'!$C$53-0.075</f>
        <v>-0.0749999988133333</v>
      </c>
    </row>
    <row r="13" customFormat="false" ht="15" hidden="false" customHeight="true" outlineLevel="0" collapsed="false">
      <c r="B13" s="5" t="s">
        <v>283</v>
      </c>
    </row>
    <row r="14" customFormat="false" ht="69.75" hidden="false" customHeight="true" outlineLevel="0" collapsed="false">
      <c r="B14" s="48" t="s">
        <v>497</v>
      </c>
      <c r="C14" s="48"/>
      <c r="D14" s="48"/>
      <c r="E14" s="48"/>
      <c r="F14" s="48"/>
      <c r="G14" s="48"/>
      <c r="H14" s="48"/>
      <c r="I14" s="48"/>
      <c r="J14" s="48"/>
      <c r="K14" s="48"/>
      <c r="L14" s="48"/>
      <c r="M14" s="48"/>
      <c r="N14" s="48"/>
    </row>
  </sheetData>
  <mergeCells count="4">
    <mergeCell ref="B3:N3"/>
    <mergeCell ref="B5:G5"/>
    <mergeCell ref="I5:N5"/>
    <mergeCell ref="B14:N14"/>
  </mergeCells>
  <conditionalFormatting sqref="C7:G11">
    <cfRule type="cellIs" priority="2" operator="lessThan" aboveAverage="0" equalAverage="0" bottom="0" percent="0" rank="0" text="" dxfId="0">
      <formula>35000000</formula>
    </cfRule>
    <cfRule type="cellIs" priority="3" operator="between" aboveAverage="0" equalAverage="0" bottom="0" percent="0" rank="0" text="" dxfId="1">
      <formula>35000000</formula>
      <formula>42000000</formula>
    </cfRule>
    <cfRule type="cellIs" priority="4" operator="greaterThan" aboveAverage="0" equalAverage="0" bottom="0" percent="0" rank="0" text="" dxfId="2">
      <formula>42000000</formula>
    </cfRule>
  </conditionalFormatting>
  <conditionalFormatting sqref="J7:N11">
    <cfRule type="cellIs" priority="5" operator="lessThan" aboveAverage="0" equalAverage="0" bottom="0" percent="0" rank="0" text="" dxfId="0">
      <formula>0</formula>
    </cfRule>
    <cfRule type="cellIs" priority="6" operator="between" aboveAverage="0" equalAverage="0" bottom="0" percent="0" rank="0" text="" dxfId="1">
      <formula>0</formula>
      <formula>0.02</formula>
    </cfRule>
    <cfRule type="cellIs" priority="7" operator="greaterThanOrEqual" aboveAverage="0" equalAverage="0" bottom="0" percent="0" rank="0" text="" dxfId="2">
      <formula>0.02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7974"/>
    <pageSetUpPr fitToPage="false"/>
  </sheetPr>
  <dimension ref="B2:F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2"/>
    <col collapsed="false" customWidth="true" hidden="false" outlineLevel="0" max="2" min="2" style="1" width="42"/>
    <col collapsed="false" customWidth="true" hidden="false" outlineLevel="0" max="5" min="3" style="1" width="14"/>
    <col collapsed="false" customWidth="true" hidden="false" outlineLevel="0" max="6" min="6" style="1" width="60"/>
  </cols>
  <sheetData>
    <row r="2" customFormat="false" ht="44.25" hidden="false" customHeight="true" outlineLevel="0" collapsed="false">
      <c r="B2" s="58" t="s">
        <v>498</v>
      </c>
      <c r="C2" s="58"/>
      <c r="D2" s="58"/>
      <c r="E2" s="58"/>
      <c r="F2" s="58"/>
    </row>
    <row r="3" customFormat="false" ht="36" hidden="false" customHeight="true" outlineLevel="0" collapsed="false">
      <c r="B3" s="36" t="s">
        <v>499</v>
      </c>
      <c r="C3" s="36"/>
      <c r="D3" s="36"/>
      <c r="E3" s="36"/>
      <c r="F3" s="36"/>
    </row>
    <row r="5" customFormat="false" ht="30" hidden="false" customHeight="true" outlineLevel="0" collapsed="false">
      <c r="B5" s="29" t="s">
        <v>500</v>
      </c>
      <c r="C5" s="29"/>
      <c r="D5" s="29"/>
      <c r="E5" s="29"/>
      <c r="F5" s="29"/>
    </row>
    <row r="6" customFormat="false" ht="15" hidden="false" customHeight="true" outlineLevel="0" collapsed="false">
      <c r="B6" s="95" t="s">
        <v>501</v>
      </c>
      <c r="C6" s="95" t="s">
        <v>502</v>
      </c>
      <c r="D6" s="95" t="s">
        <v>503</v>
      </c>
      <c r="E6" s="95" t="s">
        <v>504</v>
      </c>
      <c r="F6" s="95" t="s">
        <v>505</v>
      </c>
    </row>
    <row r="7" customFormat="false" ht="15" hidden="false" customHeight="true" outlineLevel="0" collapsed="false">
      <c r="B7" s="1" t="s">
        <v>506</v>
      </c>
      <c r="C7" s="96" t="n">
        <v>35</v>
      </c>
      <c r="D7" s="96" t="n">
        <v>90</v>
      </c>
      <c r="E7" s="96" t="n">
        <f aca="false">C7*D7</f>
        <v>3150</v>
      </c>
    </row>
    <row r="8" customFormat="false" ht="23.25" hidden="false" customHeight="true" outlineLevel="0" collapsed="false">
      <c r="B8" s="1" t="s">
        <v>507</v>
      </c>
      <c r="C8" s="96" t="n">
        <v>1</v>
      </c>
      <c r="D8" s="96" t="n">
        <v>520</v>
      </c>
      <c r="E8" s="96" t="n">
        <f aca="false">C8*D8</f>
        <v>520</v>
      </c>
      <c r="F8" s="97" t="s">
        <v>508</v>
      </c>
    </row>
    <row r="9" customFormat="false" ht="15" hidden="false" customHeight="true" outlineLevel="0" collapsed="false">
      <c r="B9" s="1" t="s">
        <v>509</v>
      </c>
      <c r="C9" s="96" t="n">
        <v>1</v>
      </c>
      <c r="D9" s="96" t="n">
        <v>360</v>
      </c>
      <c r="E9" s="96" t="n">
        <f aca="false">C9*D9</f>
        <v>360</v>
      </c>
    </row>
    <row r="10" customFormat="false" ht="23.25" hidden="false" customHeight="true" outlineLevel="0" collapsed="false">
      <c r="B10" s="1" t="s">
        <v>510</v>
      </c>
      <c r="C10" s="96" t="n">
        <v>1</v>
      </c>
      <c r="D10" s="96" t="n">
        <v>690</v>
      </c>
      <c r="E10" s="96" t="n">
        <f aca="false">C10*D10</f>
        <v>690</v>
      </c>
      <c r="F10" s="97" t="s">
        <v>511</v>
      </c>
    </row>
    <row r="11" customFormat="false" ht="15" hidden="false" customHeight="true" outlineLevel="0" collapsed="false">
      <c r="B11" s="1" t="s">
        <v>512</v>
      </c>
      <c r="C11" s="96" t="n">
        <v>1</v>
      </c>
      <c r="D11" s="96" t="n">
        <v>175</v>
      </c>
      <c r="E11" s="96" t="n">
        <f aca="false">C11*D11</f>
        <v>175</v>
      </c>
      <c r="F11" s="97" t="s">
        <v>513</v>
      </c>
    </row>
    <row r="12" customFormat="false" ht="15" hidden="false" customHeight="true" outlineLevel="0" collapsed="false">
      <c r="B12" s="1" t="s">
        <v>514</v>
      </c>
      <c r="C12" s="96" t="n">
        <v>1</v>
      </c>
      <c r="D12" s="96" t="n">
        <v>470</v>
      </c>
      <c r="E12" s="96" t="n">
        <f aca="false">C12*D12</f>
        <v>470</v>
      </c>
    </row>
    <row r="13" customFormat="false" ht="15" hidden="false" customHeight="true" outlineLevel="0" collapsed="false">
      <c r="B13" s="1" t="s">
        <v>515</v>
      </c>
      <c r="C13" s="96" t="n">
        <v>1</v>
      </c>
      <c r="D13" s="96" t="n">
        <v>1355</v>
      </c>
      <c r="E13" s="96" t="n">
        <f aca="false">C13*D13</f>
        <v>1355</v>
      </c>
      <c r="F13" s="97" t="s">
        <v>516</v>
      </c>
    </row>
    <row r="14" customFormat="false" ht="15" hidden="false" customHeight="true" outlineLevel="0" collapsed="false">
      <c r="B14" s="98" t="s">
        <v>517</v>
      </c>
      <c r="E14" s="99" t="n">
        <f aca="false">SUM(E7:E13)</f>
        <v>6720</v>
      </c>
    </row>
    <row r="17" customFormat="false" ht="15" hidden="false" customHeight="true" outlineLevel="0" collapsed="false">
      <c r="B17" s="29" t="s">
        <v>518</v>
      </c>
      <c r="C17" s="29"/>
      <c r="D17" s="29"/>
      <c r="E17" s="29"/>
      <c r="F17" s="29"/>
    </row>
    <row r="18" customFormat="false" ht="15" hidden="false" customHeight="true" outlineLevel="0" collapsed="false">
      <c r="B18" s="95" t="s">
        <v>519</v>
      </c>
      <c r="C18" s="95" t="s">
        <v>520</v>
      </c>
      <c r="D18" s="95" t="s">
        <v>521</v>
      </c>
      <c r="E18" s="95" t="s">
        <v>131</v>
      </c>
      <c r="F18" s="95" t="s">
        <v>522</v>
      </c>
    </row>
    <row r="19" customFormat="false" ht="15" hidden="false" customHeight="true" outlineLevel="0" collapsed="false">
      <c r="B19" s="10" t="s">
        <v>523</v>
      </c>
      <c r="C19" s="10"/>
      <c r="D19" s="10"/>
      <c r="E19" s="10"/>
      <c r="F19" s="10"/>
    </row>
    <row r="20" customFormat="false" ht="21.75" hidden="false" customHeight="true" outlineLevel="0" collapsed="false">
      <c r="B20" s="100" t="s">
        <v>524</v>
      </c>
      <c r="C20" s="96" t="n">
        <v>1040</v>
      </c>
      <c r="D20" s="72" t="n">
        <f aca="false">C20/6720</f>
        <v>0.154761904761905</v>
      </c>
      <c r="E20" s="67" t="s">
        <v>135</v>
      </c>
      <c r="F20" s="97" t="s">
        <v>525</v>
      </c>
    </row>
    <row r="21" customFormat="false" ht="15" hidden="false" customHeight="true" outlineLevel="0" collapsed="false">
      <c r="B21" s="100" t="s">
        <v>526</v>
      </c>
      <c r="C21" s="96" t="n">
        <v>800</v>
      </c>
      <c r="D21" s="72" t="n">
        <f aca="false">C21/6720</f>
        <v>0.119047619047619</v>
      </c>
      <c r="E21" s="67" t="s">
        <v>135</v>
      </c>
      <c r="F21" s="97" t="s">
        <v>527</v>
      </c>
    </row>
    <row r="22" customFormat="false" ht="15" hidden="false" customHeight="true" outlineLevel="0" collapsed="false">
      <c r="B22" s="100" t="s">
        <v>528</v>
      </c>
      <c r="C22" s="96" t="n">
        <v>640</v>
      </c>
      <c r="D22" s="72" t="n">
        <f aca="false">C22/6720</f>
        <v>0.0952380952380952</v>
      </c>
      <c r="E22" s="67" t="s">
        <v>135</v>
      </c>
      <c r="F22" s="97" t="s">
        <v>529</v>
      </c>
    </row>
    <row r="23" customFormat="false" ht="15" hidden="false" customHeight="true" outlineLevel="0" collapsed="false">
      <c r="B23" s="100" t="s">
        <v>530</v>
      </c>
      <c r="C23" s="96" t="n">
        <v>420</v>
      </c>
      <c r="D23" s="72" t="n">
        <f aca="false">C23/6720</f>
        <v>0.0625</v>
      </c>
      <c r="E23" s="67" t="s">
        <v>135</v>
      </c>
      <c r="F23" s="97" t="s">
        <v>531</v>
      </c>
    </row>
    <row r="24" customFormat="false" ht="15" hidden="false" customHeight="true" outlineLevel="0" collapsed="false">
      <c r="B24" s="100" t="s">
        <v>532</v>
      </c>
      <c r="C24" s="96" t="n">
        <v>250</v>
      </c>
      <c r="D24" s="72" t="n">
        <f aca="false">C24/6720</f>
        <v>0.037202380952381</v>
      </c>
      <c r="E24" s="67" t="s">
        <v>135</v>
      </c>
      <c r="F24" s="97" t="s">
        <v>533</v>
      </c>
    </row>
    <row r="25" customFormat="false" ht="15" hidden="false" customHeight="true" outlineLevel="0" collapsed="false">
      <c r="B25" s="80" t="s">
        <v>534</v>
      </c>
      <c r="C25" s="99" t="n">
        <v>3150</v>
      </c>
      <c r="D25" s="101" t="n">
        <f aca="false">C25/6720</f>
        <v>0.46875</v>
      </c>
      <c r="E25" s="67" t="s">
        <v>217</v>
      </c>
      <c r="F25" s="97" t="s">
        <v>535</v>
      </c>
    </row>
    <row r="26" customFormat="false" ht="15" hidden="false" customHeight="true" outlineLevel="0" collapsed="false">
      <c r="B26" s="10" t="s">
        <v>536</v>
      </c>
      <c r="C26" s="10"/>
      <c r="D26" s="10"/>
      <c r="E26" s="10"/>
      <c r="F26" s="10"/>
    </row>
    <row r="27" customFormat="false" ht="15" hidden="false" customHeight="true" outlineLevel="0" collapsed="false">
      <c r="B27" s="100" t="s">
        <v>537</v>
      </c>
      <c r="C27" s="96" t="n">
        <v>165</v>
      </c>
      <c r="D27" s="72" t="n">
        <f aca="false">C27/6720</f>
        <v>0.0245535714285714</v>
      </c>
      <c r="E27" s="67" t="s">
        <v>135</v>
      </c>
      <c r="F27" s="97" t="s">
        <v>538</v>
      </c>
    </row>
    <row r="28" customFormat="false" ht="15" hidden="false" customHeight="true" outlineLevel="0" collapsed="false">
      <c r="B28" s="100" t="s">
        <v>539</v>
      </c>
      <c r="C28" s="96" t="n">
        <v>255</v>
      </c>
      <c r="D28" s="72" t="n">
        <f aca="false">C28/6720</f>
        <v>0.0379464285714286</v>
      </c>
      <c r="E28" s="67" t="s">
        <v>135</v>
      </c>
      <c r="F28" s="97" t="s">
        <v>540</v>
      </c>
    </row>
    <row r="29" customFormat="false" ht="15" hidden="false" customHeight="true" outlineLevel="0" collapsed="false">
      <c r="B29" s="100" t="s">
        <v>541</v>
      </c>
      <c r="C29" s="96" t="n">
        <v>100</v>
      </c>
      <c r="D29" s="72" t="n">
        <f aca="false">C29/6720</f>
        <v>0.0148809523809524</v>
      </c>
      <c r="E29" s="67" t="s">
        <v>135</v>
      </c>
      <c r="F29" s="97" t="s">
        <v>542</v>
      </c>
    </row>
    <row r="30" customFormat="false" ht="15" hidden="false" customHeight="true" outlineLevel="0" collapsed="false">
      <c r="B30" s="80" t="s">
        <v>543</v>
      </c>
      <c r="C30" s="99" t="n">
        <v>520</v>
      </c>
      <c r="D30" s="101" t="n">
        <f aca="false">C30/6720</f>
        <v>0.0773809523809524</v>
      </c>
      <c r="E30" s="67" t="s">
        <v>217</v>
      </c>
      <c r="F30" s="97" t="s">
        <v>544</v>
      </c>
    </row>
    <row r="31" customFormat="false" ht="15" hidden="false" customHeight="true" outlineLevel="0" collapsed="false">
      <c r="B31" s="10" t="s">
        <v>545</v>
      </c>
      <c r="C31" s="10"/>
      <c r="D31" s="10"/>
      <c r="E31" s="10"/>
      <c r="F31" s="10"/>
    </row>
    <row r="32" customFormat="false" ht="15" hidden="false" customHeight="true" outlineLevel="0" collapsed="false">
      <c r="B32" s="100" t="s">
        <v>546</v>
      </c>
      <c r="C32" s="96" t="n">
        <v>180</v>
      </c>
      <c r="D32" s="72" t="n">
        <f aca="false">C32/6720</f>
        <v>0.0267857142857143</v>
      </c>
      <c r="E32" s="67" t="s">
        <v>135</v>
      </c>
      <c r="F32" s="97" t="s">
        <v>547</v>
      </c>
    </row>
    <row r="33" customFormat="false" ht="15" hidden="false" customHeight="true" outlineLevel="0" collapsed="false">
      <c r="B33" s="100" t="s">
        <v>548</v>
      </c>
      <c r="C33" s="96" t="n">
        <v>180</v>
      </c>
      <c r="D33" s="72" t="n">
        <f aca="false">C33/6720</f>
        <v>0.0267857142857143</v>
      </c>
      <c r="E33" s="67" t="s">
        <v>135</v>
      </c>
      <c r="F33" s="97" t="s">
        <v>549</v>
      </c>
    </row>
    <row r="34" customFormat="false" ht="15" hidden="false" customHeight="true" outlineLevel="0" collapsed="false">
      <c r="B34" s="80" t="s">
        <v>550</v>
      </c>
      <c r="C34" s="99" t="n">
        <v>360</v>
      </c>
      <c r="D34" s="101" t="n">
        <f aca="false">C34/6720</f>
        <v>0.0535714285714286</v>
      </c>
      <c r="E34" s="67" t="s">
        <v>217</v>
      </c>
      <c r="F34" s="97" t="s">
        <v>551</v>
      </c>
    </row>
    <row r="35" customFormat="false" ht="15" hidden="false" customHeight="true" outlineLevel="0" collapsed="false">
      <c r="B35" s="10" t="s">
        <v>552</v>
      </c>
      <c r="C35" s="10"/>
      <c r="D35" s="10"/>
      <c r="E35" s="10"/>
      <c r="F35" s="10"/>
    </row>
    <row r="36" customFormat="false" ht="21.75" hidden="false" customHeight="true" outlineLevel="0" collapsed="false">
      <c r="B36" s="100" t="s">
        <v>553</v>
      </c>
      <c r="C36" s="96" t="n">
        <v>150</v>
      </c>
      <c r="D36" s="72" t="n">
        <f aca="false">C36/6720</f>
        <v>0.0223214285714286</v>
      </c>
      <c r="E36" s="67" t="s">
        <v>156</v>
      </c>
      <c r="F36" s="97" t="s">
        <v>554</v>
      </c>
    </row>
    <row r="37" customFormat="false" ht="15" hidden="false" customHeight="true" outlineLevel="0" collapsed="false">
      <c r="B37" s="100" t="s">
        <v>555</v>
      </c>
      <c r="C37" s="96" t="n">
        <v>240</v>
      </c>
      <c r="D37" s="72" t="n">
        <f aca="false">C37/6720</f>
        <v>0.0357142857142857</v>
      </c>
      <c r="E37" s="67" t="s">
        <v>156</v>
      </c>
      <c r="F37" s="97" t="s">
        <v>556</v>
      </c>
    </row>
    <row r="38" customFormat="false" ht="15" hidden="false" customHeight="true" outlineLevel="0" collapsed="false">
      <c r="B38" s="100" t="s">
        <v>557</v>
      </c>
      <c r="C38" s="96" t="n">
        <v>300</v>
      </c>
      <c r="D38" s="72" t="n">
        <f aca="false">C38/6720</f>
        <v>0.0446428571428571</v>
      </c>
      <c r="E38" s="67" t="s">
        <v>156</v>
      </c>
      <c r="F38" s="97" t="s">
        <v>558</v>
      </c>
    </row>
    <row r="39" customFormat="false" ht="15" hidden="false" customHeight="true" outlineLevel="0" collapsed="false">
      <c r="B39" s="80" t="s">
        <v>559</v>
      </c>
      <c r="C39" s="99" t="n">
        <v>690</v>
      </c>
      <c r="D39" s="101" t="n">
        <f aca="false">C39/6720</f>
        <v>0.102678571428571</v>
      </c>
      <c r="E39" s="67" t="s">
        <v>217</v>
      </c>
      <c r="F39" s="97"/>
    </row>
    <row r="40" customFormat="false" ht="15" hidden="false" customHeight="true" outlineLevel="0" collapsed="false">
      <c r="B40" s="10" t="s">
        <v>560</v>
      </c>
      <c r="C40" s="10"/>
      <c r="D40" s="10"/>
      <c r="E40" s="10"/>
      <c r="F40" s="10"/>
    </row>
    <row r="41" customFormat="false" ht="15" hidden="false" customHeight="true" outlineLevel="0" collapsed="false">
      <c r="B41" s="100" t="s">
        <v>561</v>
      </c>
      <c r="C41" s="96" t="n">
        <v>175</v>
      </c>
      <c r="D41" s="72" t="n">
        <f aca="false">C41/6720</f>
        <v>0.0260416666666667</v>
      </c>
      <c r="E41" s="67" t="s">
        <v>135</v>
      </c>
      <c r="F41" s="97" t="s">
        <v>562</v>
      </c>
    </row>
    <row r="42" customFormat="false" ht="15" hidden="false" customHeight="true" outlineLevel="0" collapsed="false">
      <c r="B42" s="80" t="s">
        <v>563</v>
      </c>
      <c r="C42" s="99" t="n">
        <v>175</v>
      </c>
      <c r="D42" s="101" t="n">
        <f aca="false">C42/6720</f>
        <v>0.0260416666666667</v>
      </c>
      <c r="E42" s="67" t="s">
        <v>217</v>
      </c>
      <c r="F42" s="97"/>
    </row>
    <row r="43" customFormat="false" ht="15" hidden="false" customHeight="true" outlineLevel="0" collapsed="false">
      <c r="B43" s="10" t="s">
        <v>564</v>
      </c>
      <c r="C43" s="10"/>
      <c r="D43" s="10"/>
      <c r="E43" s="10"/>
      <c r="F43" s="10"/>
    </row>
    <row r="44" customFormat="false" ht="15" hidden="false" customHeight="true" outlineLevel="0" collapsed="false">
      <c r="B44" s="100" t="s">
        <v>565</v>
      </c>
      <c r="C44" s="96" t="n">
        <v>470</v>
      </c>
      <c r="D44" s="72" t="n">
        <f aca="false">C44/6720</f>
        <v>0.0699404761904762</v>
      </c>
      <c r="E44" s="67" t="s">
        <v>135</v>
      </c>
      <c r="F44" s="97" t="s">
        <v>566</v>
      </c>
    </row>
    <row r="45" customFormat="false" ht="15" hidden="false" customHeight="true" outlineLevel="0" collapsed="false">
      <c r="B45" s="80" t="s">
        <v>567</v>
      </c>
      <c r="C45" s="99" t="n">
        <v>470</v>
      </c>
      <c r="D45" s="101" t="n">
        <f aca="false">C45/6720</f>
        <v>0.0699404761904762</v>
      </c>
      <c r="E45" s="67" t="s">
        <v>217</v>
      </c>
      <c r="F45" s="97"/>
    </row>
    <row r="46" customFormat="false" ht="15" hidden="false" customHeight="true" outlineLevel="0" collapsed="false">
      <c r="B46" s="10" t="s">
        <v>568</v>
      </c>
      <c r="C46" s="10"/>
      <c r="D46" s="10"/>
      <c r="E46" s="10"/>
      <c r="F46" s="10"/>
    </row>
    <row r="47" customFormat="false" ht="21.75" hidden="false" customHeight="true" outlineLevel="0" collapsed="false">
      <c r="B47" s="100" t="s">
        <v>569</v>
      </c>
      <c r="C47" s="96" t="n">
        <v>1355</v>
      </c>
      <c r="D47" s="72" t="n">
        <f aca="false">C47/6720</f>
        <v>0.201636904761905</v>
      </c>
      <c r="E47" s="67" t="s">
        <v>135</v>
      </c>
      <c r="F47" s="97" t="s">
        <v>570</v>
      </c>
    </row>
    <row r="48" customFormat="false" ht="15" hidden="false" customHeight="true" outlineLevel="0" collapsed="false">
      <c r="B48" s="80" t="s">
        <v>571</v>
      </c>
      <c r="C48" s="99" t="n">
        <v>1355</v>
      </c>
      <c r="D48" s="101" t="n">
        <f aca="false">C48/6720</f>
        <v>0.201636904761905</v>
      </c>
      <c r="E48" s="67" t="s">
        <v>217</v>
      </c>
      <c r="F48" s="97"/>
    </row>
    <row r="49" customFormat="false" ht="15" hidden="false" customHeight="true" outlineLevel="0" collapsed="false">
      <c r="B49" s="80" t="s">
        <v>572</v>
      </c>
      <c r="C49" s="99" t="n">
        <v>6720</v>
      </c>
      <c r="D49" s="101" t="n">
        <f aca="false">C49/6720</f>
        <v>1</v>
      </c>
      <c r="E49" s="67" t="s">
        <v>217</v>
      </c>
      <c r="F49" s="97" t="s">
        <v>573</v>
      </c>
    </row>
    <row r="52" customFormat="false" ht="15" hidden="false" customHeight="true" outlineLevel="0" collapsed="false">
      <c r="B52" s="10" t="s">
        <v>574</v>
      </c>
      <c r="C52" s="10"/>
      <c r="D52" s="10"/>
      <c r="E52" s="10"/>
      <c r="F52" s="10"/>
    </row>
    <row r="53" customFormat="false" ht="15" hidden="false" customHeight="true" outlineLevel="0" collapsed="false">
      <c r="B53" s="98" t="s">
        <v>575</v>
      </c>
      <c r="C53" s="36" t="s">
        <v>576</v>
      </c>
      <c r="D53" s="36"/>
      <c r="E53" s="36"/>
      <c r="F53" s="36"/>
    </row>
    <row r="54" customFormat="false" ht="15" hidden="false" customHeight="true" outlineLevel="0" collapsed="false">
      <c r="B54" s="98" t="s">
        <v>577</v>
      </c>
      <c r="C54" s="36" t="s">
        <v>578</v>
      </c>
      <c r="D54" s="36"/>
      <c r="E54" s="36"/>
      <c r="F54" s="36"/>
    </row>
    <row r="55" customFormat="false" ht="15" hidden="false" customHeight="true" outlineLevel="0" collapsed="false">
      <c r="B55" s="98" t="s">
        <v>579</v>
      </c>
      <c r="C55" s="36" t="s">
        <v>580</v>
      </c>
      <c r="D55" s="36"/>
      <c r="E55" s="36"/>
      <c r="F55" s="36"/>
    </row>
    <row r="56" customFormat="false" ht="15" hidden="false" customHeight="true" outlineLevel="0" collapsed="false">
      <c r="B56" s="98" t="s">
        <v>581</v>
      </c>
      <c r="C56" s="36" t="s">
        <v>582</v>
      </c>
      <c r="D56" s="36"/>
      <c r="E56" s="36"/>
      <c r="F56" s="36"/>
    </row>
    <row r="57" customFormat="false" ht="15" hidden="false" customHeight="true" outlineLevel="0" collapsed="false">
      <c r="B57" s="98" t="s">
        <v>583</v>
      </c>
      <c r="C57" s="36" t="s">
        <v>584</v>
      </c>
      <c r="D57" s="36"/>
      <c r="E57" s="36"/>
      <c r="F57" s="36"/>
    </row>
    <row r="60" customFormat="false" ht="15" hidden="false" customHeight="true" outlineLevel="0" collapsed="false">
      <c r="B60" s="37" t="s">
        <v>585</v>
      </c>
      <c r="C60" s="37"/>
      <c r="D60" s="37"/>
      <c r="E60" s="37"/>
      <c r="F60" s="37"/>
    </row>
  </sheetData>
  <mergeCells count="18">
    <mergeCell ref="B2:F2"/>
    <mergeCell ref="B3:F3"/>
    <mergeCell ref="B5:F5"/>
    <mergeCell ref="B17:F17"/>
    <mergeCell ref="B19:F19"/>
    <mergeCell ref="B26:F26"/>
    <mergeCell ref="B31:F31"/>
    <mergeCell ref="B35:F35"/>
    <mergeCell ref="B40:F40"/>
    <mergeCell ref="B43:F43"/>
    <mergeCell ref="B46:F46"/>
    <mergeCell ref="B52:F52"/>
    <mergeCell ref="C53:F53"/>
    <mergeCell ref="C54:F54"/>
    <mergeCell ref="C55:F55"/>
    <mergeCell ref="C56:F56"/>
    <mergeCell ref="C57:F57"/>
    <mergeCell ref="B60:F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7974"/>
    <pageSetUpPr fitToPage="false"/>
  </sheetPr>
  <dimension ref="B2:E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6"/>
    <col collapsed="false" customWidth="true" hidden="false" outlineLevel="0" max="3" min="3" style="1" width="30"/>
    <col collapsed="false" customWidth="true" hidden="false" outlineLevel="0" max="4" min="4" style="1" width="50"/>
    <col collapsed="false" customWidth="true" hidden="false" outlineLevel="0" max="5" min="5" style="1" width="70"/>
  </cols>
  <sheetData>
    <row r="2" customFormat="false" ht="152.25" hidden="false" customHeight="true" outlineLevel="0" collapsed="false">
      <c r="B2" s="12" t="s">
        <v>586</v>
      </c>
    </row>
    <row r="3" customFormat="false" ht="15" hidden="false" customHeight="true" outlineLevel="0" collapsed="false">
      <c r="B3" s="13" t="s">
        <v>587</v>
      </c>
      <c r="C3" s="13"/>
      <c r="D3" s="13"/>
      <c r="E3" s="13"/>
    </row>
    <row r="5" customFormat="false" ht="30" hidden="false" customHeight="true" outlineLevel="0" collapsed="false">
      <c r="B5" s="21" t="s">
        <v>588</v>
      </c>
      <c r="C5" s="21" t="s">
        <v>589</v>
      </c>
      <c r="D5" s="21" t="s">
        <v>590</v>
      </c>
      <c r="E5" s="21" t="s">
        <v>591</v>
      </c>
    </row>
    <row r="6" customFormat="false" ht="27.75" hidden="false" customHeight="true" outlineLevel="0" collapsed="false">
      <c r="B6" s="102" t="s">
        <v>592</v>
      </c>
      <c r="C6" s="23" t="s">
        <v>593</v>
      </c>
      <c r="D6" s="103" t="s">
        <v>594</v>
      </c>
      <c r="E6" s="89" t="s">
        <v>595</v>
      </c>
    </row>
    <row r="7" customFormat="false" ht="27.75" hidden="false" customHeight="true" outlineLevel="0" collapsed="false">
      <c r="B7" s="102" t="s">
        <v>596</v>
      </c>
      <c r="C7" s="23" t="s">
        <v>597</v>
      </c>
      <c r="D7" s="103" t="s">
        <v>598</v>
      </c>
      <c r="E7" s="89" t="s">
        <v>599</v>
      </c>
    </row>
    <row r="8" customFormat="false" ht="27.75" hidden="false" customHeight="true" outlineLevel="0" collapsed="false">
      <c r="B8" s="102" t="s">
        <v>600</v>
      </c>
      <c r="C8" s="23" t="s">
        <v>601</v>
      </c>
      <c r="D8" s="103" t="s">
        <v>602</v>
      </c>
      <c r="E8" s="89" t="s">
        <v>603</v>
      </c>
    </row>
    <row r="9" customFormat="false" ht="27.75" hidden="false" customHeight="true" outlineLevel="0" collapsed="false">
      <c r="B9" s="102" t="s">
        <v>604</v>
      </c>
      <c r="C9" s="23" t="s">
        <v>605</v>
      </c>
      <c r="D9" s="103" t="s">
        <v>606</v>
      </c>
      <c r="E9" s="89" t="s">
        <v>607</v>
      </c>
    </row>
    <row r="10" customFormat="false" ht="27.75" hidden="false" customHeight="true" outlineLevel="0" collapsed="false">
      <c r="B10" s="102" t="s">
        <v>608</v>
      </c>
      <c r="C10" s="23" t="s">
        <v>609</v>
      </c>
      <c r="D10" s="103" t="s">
        <v>610</v>
      </c>
      <c r="E10" s="89" t="s">
        <v>611</v>
      </c>
    </row>
    <row r="11" customFormat="false" ht="27.75" hidden="false" customHeight="true" outlineLevel="0" collapsed="false">
      <c r="B11" s="102" t="s">
        <v>612</v>
      </c>
      <c r="C11" s="23" t="s">
        <v>613</v>
      </c>
      <c r="D11" s="103" t="s">
        <v>614</v>
      </c>
      <c r="E11" s="89" t="s">
        <v>615</v>
      </c>
    </row>
    <row r="12" customFormat="false" ht="27.75" hidden="false" customHeight="true" outlineLevel="0" collapsed="false">
      <c r="B12" s="102" t="s">
        <v>616</v>
      </c>
      <c r="C12" s="23" t="s">
        <v>617</v>
      </c>
      <c r="D12" s="103" t="s">
        <v>618</v>
      </c>
      <c r="E12" s="89" t="s">
        <v>619</v>
      </c>
    </row>
    <row r="13" customFormat="false" ht="27.75" hidden="false" customHeight="true" outlineLevel="0" collapsed="false">
      <c r="B13" s="102" t="s">
        <v>620</v>
      </c>
      <c r="C13" s="23" t="s">
        <v>617</v>
      </c>
      <c r="D13" s="103" t="s">
        <v>621</v>
      </c>
      <c r="E13" s="89" t="s">
        <v>619</v>
      </c>
    </row>
    <row r="14" customFormat="false" ht="27.75" hidden="false" customHeight="true" outlineLevel="0" collapsed="false">
      <c r="B14" s="102" t="s">
        <v>622</v>
      </c>
      <c r="C14" s="23" t="s">
        <v>623</v>
      </c>
      <c r="D14" s="103" t="s">
        <v>624</v>
      </c>
      <c r="E14" s="89" t="s">
        <v>625</v>
      </c>
    </row>
    <row r="15" customFormat="false" ht="27.75" hidden="false" customHeight="true" outlineLevel="0" collapsed="false">
      <c r="B15" s="102" t="s">
        <v>626</v>
      </c>
      <c r="C15" s="23" t="s">
        <v>627</v>
      </c>
      <c r="D15" s="103" t="s">
        <v>628</v>
      </c>
      <c r="E15" s="89" t="s">
        <v>629</v>
      </c>
    </row>
    <row r="16" customFormat="false" ht="27.75" hidden="false" customHeight="true" outlineLevel="0" collapsed="false">
      <c r="B16" s="102" t="s">
        <v>630</v>
      </c>
      <c r="C16" s="23" t="s">
        <v>631</v>
      </c>
      <c r="D16" s="103" t="s">
        <v>632</v>
      </c>
      <c r="E16" s="89" t="s">
        <v>633</v>
      </c>
    </row>
    <row r="17" customFormat="false" ht="27.75" hidden="false" customHeight="true" outlineLevel="0" collapsed="false">
      <c r="B17" s="102" t="s">
        <v>634</v>
      </c>
      <c r="C17" s="23" t="s">
        <v>631</v>
      </c>
      <c r="D17" s="103" t="s">
        <v>635</v>
      </c>
      <c r="E17" s="89" t="s">
        <v>633</v>
      </c>
    </row>
    <row r="18" customFormat="false" ht="27.75" hidden="false" customHeight="true" outlineLevel="0" collapsed="false">
      <c r="B18" s="102" t="s">
        <v>636</v>
      </c>
      <c r="C18" s="23" t="s">
        <v>637</v>
      </c>
      <c r="D18" s="103" t="s">
        <v>638</v>
      </c>
      <c r="E18" s="89" t="s">
        <v>639</v>
      </c>
    </row>
    <row r="19" customFormat="false" ht="27.75" hidden="false" customHeight="true" outlineLevel="0" collapsed="false">
      <c r="B19" s="102" t="s">
        <v>640</v>
      </c>
      <c r="C19" s="23" t="s">
        <v>641</v>
      </c>
      <c r="D19" s="103" t="s">
        <v>642</v>
      </c>
      <c r="E19" s="89" t="s">
        <v>643</v>
      </c>
    </row>
    <row r="20" customFormat="false" ht="27.75" hidden="false" customHeight="true" outlineLevel="0" collapsed="false">
      <c r="B20" s="102" t="s">
        <v>644</v>
      </c>
      <c r="C20" s="23" t="s">
        <v>645</v>
      </c>
      <c r="D20" s="103" t="s">
        <v>646</v>
      </c>
      <c r="E20" s="89" t="s">
        <v>647</v>
      </c>
    </row>
    <row r="21" customFormat="false" ht="27.75" hidden="false" customHeight="true" outlineLevel="0" collapsed="false">
      <c r="B21" s="102" t="s">
        <v>648</v>
      </c>
      <c r="C21" s="23" t="s">
        <v>649</v>
      </c>
      <c r="D21" s="103" t="s">
        <v>650</v>
      </c>
      <c r="E21" s="89" t="s">
        <v>651</v>
      </c>
    </row>
    <row r="22" customFormat="false" ht="27.75" hidden="false" customHeight="true" outlineLevel="0" collapsed="false">
      <c r="B22" s="102" t="s">
        <v>652</v>
      </c>
      <c r="C22" s="23" t="s">
        <v>653</v>
      </c>
      <c r="D22" s="103" t="s">
        <v>654</v>
      </c>
      <c r="E22" s="89" t="s">
        <v>655</v>
      </c>
    </row>
    <row r="23" customFormat="false" ht="27.75" hidden="false" customHeight="true" outlineLevel="0" collapsed="false">
      <c r="B23" s="102" t="s">
        <v>656</v>
      </c>
      <c r="C23" s="23" t="s">
        <v>657</v>
      </c>
      <c r="D23" s="103" t="s">
        <v>658</v>
      </c>
      <c r="E23" s="89" t="s">
        <v>659</v>
      </c>
    </row>
    <row r="24" customFormat="false" ht="27.75" hidden="false" customHeight="true" outlineLevel="0" collapsed="false">
      <c r="B24" s="102" t="s">
        <v>660</v>
      </c>
      <c r="C24" s="23" t="s">
        <v>661</v>
      </c>
      <c r="D24" s="103" t="s">
        <v>662</v>
      </c>
      <c r="E24" s="89" t="s">
        <v>663</v>
      </c>
    </row>
    <row r="25" customFormat="false" ht="27.75" hidden="false" customHeight="true" outlineLevel="0" collapsed="false">
      <c r="B25" s="102" t="s">
        <v>664</v>
      </c>
      <c r="C25" s="23" t="s">
        <v>665</v>
      </c>
      <c r="D25" s="103" t="s">
        <v>666</v>
      </c>
      <c r="E25" s="89" t="s">
        <v>667</v>
      </c>
    </row>
    <row r="26" customFormat="false" ht="27.75" hidden="false" customHeight="true" outlineLevel="0" collapsed="false">
      <c r="B26" s="102" t="s">
        <v>668</v>
      </c>
      <c r="C26" s="23" t="s">
        <v>669</v>
      </c>
      <c r="D26" s="103" t="s">
        <v>670</v>
      </c>
      <c r="E26" s="89" t="s">
        <v>671</v>
      </c>
    </row>
    <row r="27" customFormat="false" ht="27.75" hidden="false" customHeight="true" outlineLevel="0" collapsed="false">
      <c r="B27" s="102" t="s">
        <v>672</v>
      </c>
      <c r="C27" s="23" t="s">
        <v>673</v>
      </c>
      <c r="D27" s="103" t="s">
        <v>674</v>
      </c>
      <c r="E27" s="89" t="s">
        <v>675</v>
      </c>
    </row>
    <row r="28" customFormat="false" ht="27.75" hidden="false" customHeight="true" outlineLevel="0" collapsed="false">
      <c r="B28" s="102" t="s">
        <v>676</v>
      </c>
      <c r="C28" s="23" t="s">
        <v>677</v>
      </c>
      <c r="D28" s="103" t="s">
        <v>678</v>
      </c>
      <c r="E28" s="89" t="s">
        <v>679</v>
      </c>
    </row>
    <row r="29" customFormat="false" ht="27.75" hidden="false" customHeight="true" outlineLevel="0" collapsed="false">
      <c r="B29" s="102" t="s">
        <v>680</v>
      </c>
      <c r="C29" s="23" t="s">
        <v>681</v>
      </c>
      <c r="D29" s="103" t="s">
        <v>682</v>
      </c>
      <c r="E29" s="89" t="s">
        <v>683</v>
      </c>
    </row>
    <row r="30" customFormat="false" ht="27.75" hidden="false" customHeight="true" outlineLevel="0" collapsed="false">
      <c r="B30" s="102" t="s">
        <v>684</v>
      </c>
      <c r="C30" s="23" t="s">
        <v>685</v>
      </c>
      <c r="D30" s="103" t="s">
        <v>686</v>
      </c>
      <c r="E30" s="89" t="s">
        <v>687</v>
      </c>
    </row>
    <row r="31" customFormat="false" ht="27.75" hidden="false" customHeight="true" outlineLevel="0" collapsed="false">
      <c r="B31" s="102" t="s">
        <v>688</v>
      </c>
      <c r="C31" s="23" t="s">
        <v>689</v>
      </c>
      <c r="D31" s="103" t="s">
        <v>690</v>
      </c>
      <c r="E31" s="89" t="s">
        <v>691</v>
      </c>
    </row>
    <row r="32" customFormat="false" ht="27.75" hidden="false" customHeight="true" outlineLevel="0" collapsed="false">
      <c r="B32" s="102" t="s">
        <v>692</v>
      </c>
      <c r="C32" s="23" t="s">
        <v>693</v>
      </c>
      <c r="D32" s="103" t="s">
        <v>694</v>
      </c>
      <c r="E32" s="89" t="s">
        <v>695</v>
      </c>
    </row>
    <row r="33" customFormat="false" ht="27.75" hidden="false" customHeight="true" outlineLevel="0" collapsed="false">
      <c r="B33" s="102" t="s">
        <v>696</v>
      </c>
      <c r="C33" s="23" t="s">
        <v>697</v>
      </c>
      <c r="D33" s="103" t="s">
        <v>698</v>
      </c>
      <c r="E33" s="89" t="s">
        <v>699</v>
      </c>
    </row>
    <row r="34" customFormat="false" ht="27.75" hidden="false" customHeight="true" outlineLevel="0" collapsed="false">
      <c r="B34" s="102" t="s">
        <v>700</v>
      </c>
      <c r="C34" s="23" t="s">
        <v>701</v>
      </c>
      <c r="D34" s="103" t="s">
        <v>702</v>
      </c>
      <c r="E34" s="89" t="s">
        <v>703</v>
      </c>
    </row>
    <row r="35" customFormat="false" ht="27.75" hidden="false" customHeight="true" outlineLevel="0" collapsed="false">
      <c r="B35" s="102" t="s">
        <v>704</v>
      </c>
      <c r="C35" s="23" t="s">
        <v>705</v>
      </c>
      <c r="D35" s="103" t="s">
        <v>706</v>
      </c>
      <c r="E35" s="89" t="s">
        <v>707</v>
      </c>
    </row>
    <row r="36" customFormat="false" ht="27.75" hidden="false" customHeight="true" outlineLevel="0" collapsed="false">
      <c r="B36" s="102" t="s">
        <v>708</v>
      </c>
      <c r="C36" s="23" t="s">
        <v>709</v>
      </c>
      <c r="D36" s="103" t="s">
        <v>710</v>
      </c>
      <c r="E36" s="89" t="s">
        <v>711</v>
      </c>
    </row>
    <row r="37" customFormat="false" ht="27.75" hidden="false" customHeight="true" outlineLevel="0" collapsed="false">
      <c r="B37" s="102" t="s">
        <v>712</v>
      </c>
      <c r="C37" s="23" t="s">
        <v>713</v>
      </c>
      <c r="D37" s="103" t="s">
        <v>714</v>
      </c>
      <c r="E37" s="89" t="s">
        <v>715</v>
      </c>
    </row>
    <row r="38" customFormat="false" ht="27.75" hidden="false" customHeight="true" outlineLevel="0" collapsed="false">
      <c r="B38" s="102" t="s">
        <v>716</v>
      </c>
      <c r="C38" s="23" t="s">
        <v>717</v>
      </c>
      <c r="D38" s="103" t="s">
        <v>718</v>
      </c>
      <c r="E38" s="89" t="s">
        <v>719</v>
      </c>
    </row>
    <row r="39" customFormat="false" ht="27.75" hidden="false" customHeight="true" outlineLevel="0" collapsed="false">
      <c r="B39" s="102" t="s">
        <v>720</v>
      </c>
      <c r="C39" s="23" t="s">
        <v>721</v>
      </c>
      <c r="D39" s="103" t="s">
        <v>722</v>
      </c>
      <c r="E39" s="89" t="s">
        <v>723</v>
      </c>
    </row>
    <row r="40" customFormat="false" ht="27.75" hidden="false" customHeight="true" outlineLevel="0" collapsed="false">
      <c r="B40" s="102" t="s">
        <v>724</v>
      </c>
      <c r="C40" s="23" t="s">
        <v>725</v>
      </c>
      <c r="D40" s="103" t="s">
        <v>726</v>
      </c>
      <c r="E40" s="89" t="s">
        <v>727</v>
      </c>
    </row>
    <row r="41" customFormat="false" ht="27.75" hidden="false" customHeight="true" outlineLevel="0" collapsed="false">
      <c r="B41" s="102" t="s">
        <v>728</v>
      </c>
      <c r="C41" s="23" t="s">
        <v>729</v>
      </c>
      <c r="D41" s="103" t="s">
        <v>730</v>
      </c>
      <c r="E41" s="89" t="s">
        <v>731</v>
      </c>
    </row>
    <row r="42" customFormat="false" ht="27.75" hidden="false" customHeight="true" outlineLevel="0" collapsed="false">
      <c r="B42" s="102" t="s">
        <v>732</v>
      </c>
      <c r="C42" s="23" t="s">
        <v>733</v>
      </c>
      <c r="D42" s="103" t="s">
        <v>734</v>
      </c>
      <c r="E42" s="89" t="s">
        <v>735</v>
      </c>
    </row>
    <row r="43" customFormat="false" ht="27.75" hidden="false" customHeight="true" outlineLevel="0" collapsed="false">
      <c r="B43" s="102" t="s">
        <v>736</v>
      </c>
      <c r="C43" s="23" t="s">
        <v>737</v>
      </c>
      <c r="D43" s="103" t="s">
        <v>738</v>
      </c>
      <c r="E43" s="89" t="s">
        <v>739</v>
      </c>
    </row>
    <row r="44" customFormat="false" ht="27.75" hidden="false" customHeight="true" outlineLevel="0" collapsed="false">
      <c r="B44" s="102" t="s">
        <v>740</v>
      </c>
      <c r="C44" s="23" t="s">
        <v>741</v>
      </c>
      <c r="D44" s="103" t="s">
        <v>742</v>
      </c>
      <c r="E44" s="89" t="s">
        <v>743</v>
      </c>
    </row>
    <row r="45" customFormat="false" ht="23.25" hidden="false" customHeight="true" outlineLevel="0" collapsed="false">
      <c r="B45" s="100" t="n">
        <v>40</v>
      </c>
      <c r="C45" s="100" t="s">
        <v>744</v>
      </c>
      <c r="D45" s="100" t="s">
        <v>745</v>
      </c>
      <c r="E45" s="100" t="s">
        <v>595</v>
      </c>
    </row>
    <row r="46" customFormat="false" ht="23.25" hidden="false" customHeight="true" outlineLevel="0" collapsed="false">
      <c r="B46" s="100" t="n">
        <v>41</v>
      </c>
      <c r="C46" s="100" t="s">
        <v>746</v>
      </c>
      <c r="D46" s="100" t="s">
        <v>747</v>
      </c>
      <c r="E46" s="100" t="s">
        <v>748</v>
      </c>
    </row>
    <row r="47" customFormat="false" ht="31.5" hidden="false" customHeight="true" outlineLevel="0" collapsed="false">
      <c r="B47" s="11" t="n">
        <v>42</v>
      </c>
      <c r="C47" s="11"/>
      <c r="D47" s="11"/>
      <c r="E47" s="11"/>
    </row>
    <row r="50" customFormat="false" ht="393" hidden="false" customHeight="true" outlineLevel="0" collapsed="false">
      <c r="B50" s="40" t="s">
        <v>749</v>
      </c>
    </row>
  </sheetData>
  <mergeCells count="2">
    <mergeCell ref="B3:E3"/>
    <mergeCell ref="B47:E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2026-04-29T07:09:53Z</dcterms:created>
  <dc:creator>openpyxl</dc:creator>
  <dc:description/>
  <dc:language>en-US</dc:language>
  <cp:lastModifiedBy/>
  <dcterms:modified xsi:type="dcterms:W3CDTF">2026-04-29T11:50:08Z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