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CashFlow_20Y" sheetId="3" state="visible" r:id="rId5"/>
    <sheet name="Scenarios" sheetId="4" state="visible" r:id="rId6"/>
    <sheet name="Sensitivity" sheetId="5" state="visible" r:id="rId7"/>
    <sheet name="Summary" sheetId="6" state="visible" r:id="rId8"/>
    <sheet name="Charts" sheetId="7" state="visible" r:id="rId9"/>
    <sheet name="Methodolog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Source</author>
  </authors>
  <commentList>
    <comment ref="C6" authorId="0">
      <text>
        <r>
          <rPr>
            <sz val="10"/>
            <rFont val="Arial"/>
            <family val="2"/>
          </rPr>
          <t xml:space="preserve">Boutique ultra-luxury target. Matches The Brando (Tetiaroa, FP) at 35 keys. Sub-50-key density commands premium ADR per global comp set (Amanyara 38, Cheval Blanc Randheli 45, Soneva Jani 59).</t>
        </r>
      </text>
    </comment>
    <comment ref="C9" authorId="0">
      <text>
        <r>
          <rPr>
            <sz val="10"/>
            <rFont val="Arial"/>
            <family val="2"/>
          </rPr>
          <t xml:space="preserve">Source: Ultra-luxury island peers run 55-65% occupancy (The Brando ~60%, Amanyara ~62%, Cheval Blanc Randheli ~58%). Trades volume for rate. Conservative vs. branded BB motu majors at 70-75%.</t>
        </r>
      </text>
    </comment>
    <comment ref="C10" authorId="0">
      <text>
        <r>
          <rPr>
            <sz val="10"/>
            <rFont val="Arial"/>
            <family val="2"/>
          </rPr>
          <t xml:space="preserve">BASE CASE — benchmark-validated. Anchored on FP/global ultra-luxury island comps:
- The Brando 1BR: $4,300 low / $5,900 high (Tetiaroa, 35 keys, LEED Plat)
- Amanyara: $3,100 std / $5,592 weekend high (Turks, 38 keys)
- Cheval Blanc Randheli: $2,500 lead-in / $4,875 high (Maldives, 45 keys, LVMH)
- Soneva Jani: $2,300 lead-in (Maldives, 59 keys, sustainability leader)
- North Island Seychelles: $11,500 (11 keys — outlier, ultra-low density)
$4,200 sits mid-pack vs Brando+Amanyara, premium to Cheval Blanc/Soneva.
Sources: thebrando.com rate card 2025-26, fourseasons.com, ilxtravel.com, kayak.com rate histories, privateupgrades.com.</t>
        </r>
      </text>
    </comment>
    <comment ref="C11" authorId="0">
      <text>
        <r>
          <rPr>
            <sz val="10"/>
            <rFont val="Arial"/>
            <family val="2"/>
          </rPr>
          <t xml:space="preserve">Source: Luxury all-suite resorts run F&amp;B 35-50% of rooms revenue. Brando ~45%, Amanyara ~40%. Held at 40% for proposed Vaitape (town location offers off-property F&amp;B alternatives, slight downward pressure).</t>
        </r>
      </text>
    </comment>
    <comment ref="C12" authorId="0">
      <text>
        <r>
          <rPr>
            <sz val="10"/>
            <rFont val="Arial"/>
            <family val="2"/>
          </rPr>
          <t xml:space="preserve">Source: Luxury island resorts with curated programming run other-rev 10-15% of rooms. Brando ~14% (cultural / Tetiaroa Society), Amanyara ~12%. Conservative 12% reflects spa+cultural programming.</t>
        </r>
      </text>
    </comment>
    <comment ref="C16" authorId="0">
      <text>
        <r>
          <rPr>
            <sz val="10"/>
            <rFont val="Arial"/>
            <family val="2"/>
          </rPr>
          <t xml:space="preserve">Source: New ultra-luxury independent boutiques typically take 4-5 years to stabilize. Brando took ~5 years; Amanyara ramp ~4 years. Conservative ramp.</t>
        </r>
      </text>
    </comment>
    <comment ref="C17" authorId="0">
      <text>
        <r>
          <rPr>
            <sz val="10"/>
            <rFont val="Arial"/>
            <family val="2"/>
          </rPr>
          <t xml:space="preserve">Source: Pre-launch booking discounts + soft-opening rates. 75% Y1 reflects no-track-record discount; ramps to 100% at Y4 with reviews compounding.</t>
        </r>
      </text>
    </comment>
    <comment ref="C20" authorId="0">
      <text>
        <r>
          <rPr>
            <sz val="10"/>
            <rFont val="Arial"/>
            <family val="2"/>
          </rPr>
          <t xml:space="preserve">Source: Ultra-luxury boutiques (sub-50 keys) run dept exp 35-40% of total rev. Brando ~38%, Amanyara ~36%. Higher staff:guest ratio than 100+ key resorts.</t>
        </r>
      </text>
    </comment>
    <comment ref="C21" authorId="0">
      <text>
        <r>
          <rPr>
            <sz val="10"/>
            <rFont val="Arial"/>
            <family val="2"/>
          </rPr>
          <t xml:space="preserve">Source: Independent boutique benefits from lower brand fees and corporate allocations. Branded comps (Conrad/St Regis/FS) run 23-26%; independent ultra-luxury 18-22%.</t>
        </r>
      </text>
    </comment>
    <comment ref="C22" authorId="0">
      <text>
        <r>
          <rPr>
            <sz val="10"/>
            <rFont val="Arial"/>
            <family val="2"/>
          </rPr>
          <t xml:space="preserve">Source: French Polynesia has no real estate tax on tourist accommodation; main charges are RPT (4.9% of rev) + service charge (5%). Insurance offset partly by net-zero/captive structure.</t>
        </r>
      </text>
    </comment>
    <comment ref="C23" authorId="0">
      <text>
        <r>
          <rPr>
            <sz val="10"/>
            <rFont val="Arial"/>
            <family val="2"/>
          </rPr>
          <t xml:space="preserve">Source: Independent operator — assumes asset-management fee 2-3% + incentive structure aligned with NOI growth. Branded would be 5-7%.</t>
        </r>
      </text>
    </comment>
    <comment ref="C24" authorId="0">
      <text>
        <r>
          <rPr>
            <sz val="10"/>
            <rFont val="Arial"/>
            <family val="2"/>
          </rPr>
          <t xml:space="preserve">Source: USALI standard is 3-4% for upper-upscale; luxury beach/island properties typically reserve 4-5% due to ocean corrosion and frequent FF&amp;E refresh. Brando reserves ~5%.</t>
        </r>
      </text>
    </comment>
    <comment ref="C27" authorId="0">
      <text>
        <r>
          <rPr>
            <sz val="10"/>
            <rFont val="Arial"/>
            <family val="2"/>
          </rPr>
          <t xml:space="preserve">Source: STR ultra-luxury segment ADR CAGR 2014-2024: ~4.2%. FP luxury market grew 3-5% pre-COVID; 3.5% is mid-conservative.</t>
        </r>
      </text>
    </comment>
    <comment ref="C29" authorId="0">
      <text>
        <r>
          <rPr>
            <sz val="10"/>
            <rFont val="Arial"/>
            <family val="2"/>
          </rPr>
          <t xml:space="preserve">Source: Luxury F&amp;B inflation 2.5-3.5% historically.</t>
        </r>
      </text>
    </comment>
    <comment ref="C33" authorId="0">
      <text>
        <r>
          <rPr>
            <sz val="10"/>
            <rFont val="Arial"/>
            <family val="2"/>
          </rPr>
          <t xml:space="preserve">Source: Ultra-luxury new-build per-key costs (FP/Caribbean/Maldives 2024-25):
- Standard luxury overwater motu: $0.8-1.2M/key
- Net-zero new-build with onshore land + utilities: +20-30% premium = $1.0-1.5M/key
- Brando (2014, recalc 2025 dollars): ~$1.3M/key
- Amanyara recent renovations imply ~$1.1M/key replacement cost
$42M total = $1.2M/key × 35 keys, mid-range for sustainable boutique.</t>
        </r>
      </text>
    </comment>
    <comment ref="C34" authorId="0">
      <text>
        <r>
          <rPr>
            <sz val="10"/>
            <rFont val="Arial"/>
            <family val="2"/>
          </rPr>
          <t xml:space="preserve">Source: Patient-capital / sovereign / family-office hurdle for luxury hospitality in stable jurisdictions: 8-11%. 9.5% mid-range, appropriate for FP (political stability premium offset by remoteness risk).</t>
        </r>
      </text>
    </comment>
    <comment ref="C35" authorId="0">
      <text>
        <r>
          <rPr>
            <sz val="10"/>
            <rFont val="Arial"/>
            <family val="2"/>
          </rPr>
          <t xml:space="preserve">Source: Luxury island hotel transaction cap rates 2022-2025:
- Brando (2014 sale to Pacific Beachcomber): ~6.5%
- Amanyara (2018 OUE acquisition): ~7%
- Recent FP hotel transactions: 7-8%
7.5% is mid-range, appropriately conservative for new asset.</t>
        </r>
      </text>
    </comment>
    <comment ref="C37" authorId="0">
      <text>
        <r>
          <rPr>
            <sz val="10"/>
            <rFont val="Arial"/>
            <family val="2"/>
          </rPr>
          <t xml:space="preserve">Source: USALI / luxury hotel industry standard renovation cycles:
- Soft refresh: every 5-7 years
- Hard renovation / PIP: every 8-12 years
8-year cycle is mid-range industry standard.</t>
        </r>
      </text>
    </comment>
    <comment ref="C38" authorId="0">
      <text>
        <r>
          <rPr>
            <sz val="10"/>
            <rFont val="Arial"/>
            <family val="2"/>
          </rPr>
          <t xml:space="preserve">Source: Luxury renovation capex typically 10-15% of trailing annual revenue. 12% mid-range; tropical climate justifies upper-mid.</t>
        </r>
      </text>
    </comment>
    <comment ref="C46" authorId="0">
      <text>
        <r>
          <rPr>
            <sz val="10"/>
            <rFont val="Arial"/>
            <family val="2"/>
          </rPr>
          <t xml:space="preserve">Type 'Upside', 'Base', or 'Stress' to switch operating scenario. ADR (C10) and Occupancy (C9) auto-update via VLOOKUP.</t>
        </r>
      </text>
    </comment>
  </commentList>
</comments>
</file>

<file path=xl/sharedStrings.xml><?xml version="1.0" encoding="utf-8"?>
<sst xmlns="http://schemas.openxmlformats.org/spreadsheetml/2006/main" count="448" uniqueCount="288">
  <si>
    <t xml:space="preserve">HOTEL DCF SENSITIVITY ANALYSIS MODEL</t>
  </si>
  <si>
    <t xml:space="preserve">Development-Stage Hotel | 5/8/10/12/20-Year Holding Period Comparison</t>
  </si>
  <si>
    <t xml:space="preserve">MODEL OVERVIEW</t>
  </si>
  <si>
    <t xml:space="preserve">This model evaluates a development-stage hotel investment under five holding-period scenarios</t>
  </si>
  <si>
    <t xml:space="preserve">(5, 8, 10, 12, and 20 years) using a fully formula-driven 20-year unlevered DCF.</t>
  </si>
  <si>
    <t xml:space="preserve">All operating assumptions, growth rates, discount rates, exit caps, and renovation cycles are</t>
  </si>
  <si>
    <t xml:space="preserve">adjustable via the Inputs sheet. Sensitivity tables and charts update automatically.</t>
  </si>
  <si>
    <t xml:space="preserve">WORKBOOK MAP</t>
  </si>
  <si>
    <t xml:space="preserve">1. Inputs</t>
  </si>
  <si>
    <t xml:space="preserve">All adjustable assumptions — discount rate, growth, exit cap, renovation cycle</t>
  </si>
  <si>
    <t xml:space="preserve">2. CashFlow_20Y</t>
  </si>
  <si>
    <t xml:space="preserve">Full 20-year P&amp;L: revenue, NOI, FF&amp;E reserve, renovation capex, unlevered FCF</t>
  </si>
  <si>
    <t xml:space="preserve">3. Scenarios</t>
  </si>
  <si>
    <t xml:space="preserve">Parallel DCFs for each holding period with terminal value &amp; IRR</t>
  </si>
  <si>
    <t xml:space="preserve">4. Sensitivity</t>
  </si>
  <si>
    <t xml:space="preserve">2-way data tables: NPV/IRR vs. discount rate × exit cap rate</t>
  </si>
  <si>
    <t xml:space="preserve">5. Summary</t>
  </si>
  <si>
    <t xml:space="preserve">Side-by-side comparison: NPV, IRR, Equity Multiple, Payback</t>
  </si>
  <si>
    <t xml:space="preserve">6. Charts</t>
  </si>
  <si>
    <t xml:space="preserve">NPV bar chart, IRR comparison, cumulative cash flow lines</t>
  </si>
  <si>
    <t xml:space="preserve">7. Methodology</t>
  </si>
  <si>
    <t xml:space="preserve">Formulas, hospitality benchmarks, and model conventions</t>
  </si>
  <si>
    <t xml:space="preserve">COLOR LEGEND</t>
  </si>
  <si>
    <t xml:space="preserve">User-editable assumption (blue text, yellow fill)</t>
  </si>
  <si>
    <t xml:space="preserve">Formula</t>
  </si>
  <si>
    <t xml:space="preserve">Calculated by the model (do not overwrite)</t>
  </si>
  <si>
    <t xml:space="preserve">Output</t>
  </si>
  <si>
    <t xml:space="preserve">Key result (NPV, IRR, multiples)</t>
  </si>
  <si>
    <t xml:space="preserve">INPUTS &amp; ASSUMPTIONS</t>
  </si>
  <si>
    <t xml:space="preserve">All blue/yellow cells are editable. Outputs flow to Cash Flow, Scenarios, Sensitivity &amp; Summary.</t>
  </si>
  <si>
    <t xml:space="preserve">PROPERTY PROFILE</t>
  </si>
  <si>
    <t xml:space="preserve">Number of Keys (Rooms)</t>
  </si>
  <si>
    <t xml:space="preserve">Property Type</t>
  </si>
  <si>
    <t xml:space="preserve">Ultra-Luxury Boutique (35 keys)</t>
  </si>
  <si>
    <t xml:space="preserve">Development / Stabilization Period (yrs)</t>
  </si>
  <si>
    <t xml:space="preserve">Stabilized Occupancy</t>
  </si>
  <si>
    <t xml:space="preserve">Stabilized ADR ($)</t>
  </si>
  <si>
    <t xml:space="preserve">F&amp;B Revenue (% of Rooms Rev)</t>
  </si>
  <si>
    <t xml:space="preserve">Other Revenue (% of Rooms Rev)</t>
  </si>
  <si>
    <t xml:space="preserve">DEVELOPMENT-STAGE RAMP-UP</t>
  </si>
  <si>
    <t xml:space="preserve">Year of Operation</t>
  </si>
  <si>
    <t xml:space="preserve">Year 1 (Opening)</t>
  </si>
  <si>
    <t xml:space="preserve">Year 2</t>
  </si>
  <si>
    <t xml:space="preserve">Year 3 (Stabilization)</t>
  </si>
  <si>
    <t xml:space="preserve">Year 4+ (Stabilized)</t>
  </si>
  <si>
    <t xml:space="preserve">Occupancy % of Stabilized</t>
  </si>
  <si>
    <t xml:space="preserve">ADR % of Stabilized</t>
  </si>
  <si>
    <t xml:space="preserve">OPERATING MARGINS &amp; EXPENSES</t>
  </si>
  <si>
    <t xml:space="preserve">Departmental Expenses (% of Total Rev)</t>
  </si>
  <si>
    <t xml:space="preserve">Undistributed Operating Expenses (% Rev)</t>
  </si>
  <si>
    <t xml:space="preserve">Property Taxes &amp; Insurance (% Rev)</t>
  </si>
  <si>
    <t xml:space="preserve">Management Fee (% Rev)</t>
  </si>
  <si>
    <t xml:space="preserve">FF&amp;E Reserve (% Rev)</t>
  </si>
  <si>
    <t xml:space="preserve">GROWTH RATES (post-stabilization)</t>
  </si>
  <si>
    <t xml:space="preserve">ADR Growth Rate (annual)</t>
  </si>
  <si>
    <t xml:space="preserve">Occupancy Drift (annual, +/-)</t>
  </si>
  <si>
    <t xml:space="preserve">F&amp;B / Other Revenue Growth</t>
  </si>
  <si>
    <t xml:space="preserve">Operating Expense Inflation</t>
  </si>
  <si>
    <t xml:space="preserve">CAPITAL STRUCTURE &amp; RENOVATION</t>
  </si>
  <si>
    <t xml:space="preserve">Total Development Cost ($, all-in)</t>
  </si>
  <si>
    <t xml:space="preserve">Discount Rate (Unlevered)</t>
  </si>
  <si>
    <t xml:space="preserve">Terminal Cap Rate (Exit Cap)</t>
  </si>
  <si>
    <t xml:space="preserve">Selling Costs (% of Sale Price)</t>
  </si>
  <si>
    <t xml:space="preserve">Renovation Cycle (years)</t>
  </si>
  <si>
    <t xml:space="preserve">Renovation Capex (% of Annual Revenue)</t>
  </si>
  <si>
    <t xml:space="preserve">PIP Renovation in Year (set 0 if none)</t>
  </si>
  <si>
    <t xml:space="preserve">HOLDING PERIOD SCENARIOS</t>
  </si>
  <si>
    <t xml:space="preserve">Scenario</t>
  </si>
  <si>
    <t xml:space="preserve">Short</t>
  </si>
  <si>
    <t xml:space="preserve">Medium-Short</t>
  </si>
  <si>
    <t xml:space="preserve">Standard</t>
  </si>
  <si>
    <t xml:space="preserve">Medium-Long</t>
  </si>
  <si>
    <t xml:space="preserve">Long</t>
  </si>
  <si>
    <t xml:space="preserve">Holding Period (years)</t>
  </si>
  <si>
    <t xml:space="preserve">OPERATING SCENARIO SWITCHER</t>
  </si>
  <si>
    <t xml:space="preserve">Active Scenario (Upside / Base / Stress)</t>
  </si>
  <si>
    <t xml:space="preserve">Base</t>
  </si>
  <si>
    <t xml:space="preserve">Stabilized RevPAR ($)</t>
  </si>
  <si>
    <t xml:space="preserve">Source / Anchor Comp</t>
  </si>
  <si>
    <t xml:space="preserve">Upside</t>
  </si>
  <si>
    <t xml:space="preserve">Brando high season ($5,900) less 15%; Amanyara peak</t>
  </si>
  <si>
    <t xml:space="preserve">Brando lead-in ($4,300) less 25% accessibility; Amanyara blended</t>
  </si>
  <si>
    <t xml:space="preserve">Stress</t>
  </si>
  <si>
    <t xml:space="preserve">Branded BB motu pricing (FS/St Regis weighted); ignores ESG premium</t>
  </si>
  <si>
    <t xml:space="preserve">20-YEAR CASH FLOW PROJECTION</t>
  </si>
  <si>
    <t xml:space="preserve">Unlevered free cash flow with development ramp &amp; periodic renovation capex</t>
  </si>
  <si>
    <t xml:space="preserve">Line Item</t>
  </si>
  <si>
    <t xml:space="preserve">Year 1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</si>
  <si>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</si>
  <si>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</si>
  <si>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</si>
  <si>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</si>
  <si>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</si>
  <si>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Year 8</t>
  </si>
  <si>
    <t xml:space="preserve">Year 9</t>
  </si>
  <si>
    <t xml:space="preserve">Year 10</t>
  </si>
  <si>
    <t xml:space="preserve">Year 11</t>
  </si>
  <si>
    <t xml:space="preserve">Year 12</t>
  </si>
  <si>
    <t xml:space="preserve">Year 13</t>
  </si>
  <si>
    <t xml:space="preserve">Year 14</t>
  </si>
  <si>
    <t xml:space="preserve">Year 15</t>
  </si>
  <si>
    <t xml:space="preserve">Year 16</t>
  </si>
  <si>
    <t xml:space="preserve">Year 17</t>
  </si>
  <si>
    <t xml:space="preserve">Year 18</t>
  </si>
  <si>
    <t xml:space="preserve">Year 19</t>
  </si>
  <si>
    <t xml:space="preserve">Year 20</t>
  </si>
  <si>
    <t xml:space="preserve">Year #</t>
  </si>
  <si>
    <t xml:space="preserve">OPERATING ASSUMPTIONS</t>
  </si>
  <si>
    <t xml:space="preserve">Occupancy %</t>
  </si>
  <si>
    <t xml:space="preserve">ADR ($)</t>
  </si>
  <si>
    <t xml:space="preserve">RevPAR ($)</t>
  </si>
  <si>
    <t xml:space="preserve">REVENUE</t>
  </si>
  <si>
    <t xml:space="preserve">Rooms Revenue</t>
  </si>
  <si>
    <t xml:space="preserve">F&amp;B Revenue</t>
  </si>
  <si>
    <t xml:space="preserve">Other Revenue</t>
  </si>
  <si>
    <t xml:space="preserve">Total Revenue</t>
  </si>
  <si>
    <t xml:space="preserve">OPERATING EXPENSES</t>
  </si>
  <si>
    <t xml:space="preserve">Departmental Expenses</t>
  </si>
  <si>
    <t xml:space="preserve">Undistributed Operating Exp.</t>
  </si>
  <si>
    <t xml:space="preserve">Property Taxes &amp; Insurance</t>
  </si>
  <si>
    <t xml:space="preserve">Management Fee</t>
  </si>
  <si>
    <t xml:space="preserve">Total Operating Expenses</t>
  </si>
  <si>
    <t xml:space="preserve">NET OPERATING INCOME (NOI)</t>
  </si>
  <si>
    <t xml:space="preserve">NOI Margin %</t>
  </si>
  <si>
    <t xml:space="preserve">CAPITAL EXPENDITURES</t>
  </si>
  <si>
    <t xml:space="preserve">FF&amp;E Reserve</t>
  </si>
  <si>
    <t xml:space="preserve">Renovation Capex (cycle)</t>
  </si>
  <si>
    <t xml:space="preserve">Total Capex</t>
  </si>
  <si>
    <t xml:space="preserve">UNLEVERED FREE CASH FLOW</t>
  </si>
  <si>
    <t xml:space="preserve">Forward NOI (Year N+1, for Exit Value)</t>
  </si>
  <si>
    <t xml:space="preserve">HOLDING PERIOD SCENARIOS — DCF &amp; EXIT</t>
  </si>
  <si>
    <t xml:space="preserve">Each scenario uses the same operating cash flows but exits in a different year.</t>
  </si>
  <si>
    <t xml:space="preserve">5-Year Hold</t>
  </si>
  <si>
    <t xml:space="preserve">Period</t>
  </si>
  <si>
    <t xml:space="preserve">Y0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</si>
  <si>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</si>
  <si>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</si>
  <si>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</si>
  <si>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</si>
  <si>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</si>
  <si>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Y6</t>
  </si>
  <si>
    <t xml:space="preserve">Y7</t>
  </si>
  <si>
    <t xml:space="preserve">Y8</t>
  </si>
  <si>
    <t xml:space="preserve">Y9</t>
  </si>
  <si>
    <t xml:space="preserve">Y10</t>
  </si>
  <si>
    <t xml:space="preserve">Y11</t>
  </si>
  <si>
    <t xml:space="preserve">Y12</t>
  </si>
  <si>
    <t xml:space="preserve">Y13</t>
  </si>
  <si>
    <t xml:space="preserve">Y14</t>
  </si>
  <si>
    <t xml:space="preserve">Y15</t>
  </si>
  <si>
    <t xml:space="preserve">Y16</t>
  </si>
  <si>
    <t xml:space="preserve">Y17</t>
  </si>
  <si>
    <t xml:space="preserve">Y18</t>
  </si>
  <si>
    <t xml:space="preserve">Y19</t>
  </si>
  <si>
    <t xml:space="preserve">Y20</t>
  </si>
  <si>
    <t xml:space="preserve">Operating FCF</t>
  </si>
  <si>
    <t xml:space="preserve">Terminal Value (net of selling costs)</t>
  </si>
  <si>
    <t xml:space="preserve">Total Cash Flow</t>
  </si>
  <si>
    <t xml:space="preserve">Discount Factor</t>
  </si>
  <si>
    <t xml:space="preserve">PV of Cash Flow</t>
  </si>
  <si>
    <t xml:space="preserve">Cumulative Cash Flow</t>
  </si>
  <si>
    <t xml:space="preserve">NPV</t>
  </si>
  <si>
    <t xml:space="preserve">IRR</t>
  </si>
  <si>
    <t xml:space="preserve">Equity Multiple (Total CF / Initial)</t>
  </si>
  <si>
    <t xml:space="preserve">8-Year Hold</t>
  </si>
  <si>
    <t xml:space="preserve">10-Year Hold</t>
  </si>
  <si>
    <t xml:space="preserve">12-Year Hold</t>
  </si>
  <si>
    <t xml:space="preserve">20-Year Hold</t>
  </si>
  <si>
    <t xml:space="preserve">SENSITIVITY ANALYSIS</t>
  </si>
  <si>
    <t xml:space="preserve">10-Year Hold: NPV &amp; IRR vs. Discount Rate × Exit Cap Rate</t>
  </si>
  <si>
    <t xml:space="preserve">Reference Cash Flow (10-Year, fixed)</t>
  </si>
  <si>
    <t xml:space="preserve">Year</t>
  </si>
  <si>
    <t xml:space="preserve">Forward NOI (Y+1)</t>
  </si>
  <si>
    <t xml:space="preserve">TABLE 1 — NPV ($) | Rows: Discount Rate | Cols: Exit Cap Rate (10-Year Hold)</t>
  </si>
  <si>
    <t xml:space="preserve">Discount Rate ↓ / Exit Cap →</t>
  </si>
  <si>
    <t xml:space="preserve">TABLE 2 — NPV ($) | Rows: Discount Rate | Cols: Holding Period (years)</t>
  </si>
  <si>
    <t xml:space="preserve">Discount Rate ↓ / Hold (yrs) →</t>
  </si>
  <si>
    <t xml:space="preserve">SUMMARY DASHBOARD</t>
  </si>
  <si>
    <t xml:space="preserve">Side-by-side comparison of 5 holding period scenarios</t>
  </si>
  <si>
    <t xml:space="preserve">KEY METRICS BY HOLDING PERIOD</t>
  </si>
  <si>
    <t xml:space="preserve">Metric</t>
  </si>
  <si>
    <t xml:space="preserve">5-Year</t>
  </si>
  <si>
    <t xml:space="preserve">8-Year</t>
  </si>
  <si>
    <t xml:space="preserve">10-Year</t>
  </si>
  <si>
    <t xml:space="preserve">12-Year</t>
  </si>
  <si>
    <t xml:space="preserve">20-Year</t>
  </si>
  <si>
    <t xml:space="preserve">Initial Investment</t>
  </si>
  <si>
    <t xml:space="preserve">Net Present Value (NPV)</t>
  </si>
  <si>
    <t xml:space="preserve">Internal Rate of Return (IRR)</t>
  </si>
  <si>
    <t xml:space="preserve">Equity Multiple</t>
  </si>
  <si>
    <t xml:space="preserve">Profitability Index (NPV / Investment)</t>
  </si>
  <si>
    <t xml:space="preserve">IRR Spread vs. Discount Rate</t>
  </si>
  <si>
    <t xml:space="preserve">RECOMMENDATION SUMMARY</t>
  </si>
  <si>
    <t xml:space="preserve">Best NPV (highest):</t>
  </si>
  <si>
    <t xml:space="preserve">→ NPV =</t>
  </si>
  <si>
    <t xml:space="preserve">Best IRR (highest):</t>
  </si>
  <si>
    <t xml:space="preserve">→ IRR =</t>
  </si>
  <si>
    <t xml:space="preserve">READING THE MODEL</t>
  </si>
  <si>
    <t xml:space="preserve">• Shorter holds (5–8 yrs) emphasize exit-value timing; sensitive to terminal cap rate.</t>
  </si>
  <si>
    <t xml:space="preserve">• Longer holds (12–20 yrs) capture more compound NOI growth but absorb more renovation cycles.</t>
  </si>
  <si>
    <t xml:space="preserve">• Development-stage assets benefit from longer holds because Year 1–3 ramp dilutes early IRR.</t>
  </si>
  <si>
    <t xml:space="preserve">• Toggle Inputs!C37 (renovation cycle 7–10 yrs) to test capex timing impact on hold-period choice.</t>
  </si>
  <si>
    <t xml:space="preserve">VISUAL ANALYTICS</t>
  </si>
  <si>
    <t xml:space="preserve">All charts update automatically when Inputs change.</t>
  </si>
  <si>
    <t xml:space="preserve">Data Block 1: NPV &amp; IRR by Holding Period</t>
  </si>
  <si>
    <t xml:space="preserve">Holding Period</t>
  </si>
  <si>
    <t xml:space="preserve">NPV ($)</t>
  </si>
  <si>
    <t xml:space="preserve">IRR (%)</t>
  </si>
  <si>
    <t xml:space="preserve">Data Block 2: Cumulative Cash Flow by Year (each Holding Period)</t>
  </si>
  <si>
    <t xml:space="preserve">Data Block 3: NPV Sensitivity (10-Yr Hold) — Discount Rate × Exit Cap</t>
  </si>
  <si>
    <t xml:space="preserve">Disc Rate \ Exit Cap</t>
  </si>
  <si>
    <t xml:space="preserve">METHODOLOGY &amp; MODEL CONVENTIONS</t>
  </si>
  <si>
    <t xml:space="preserve">CORE DCF EQUATION</t>
  </si>
  <si>
    <t xml:space="preserve">NPV  =  Σ FCF_t ÷ (1+r)^t  +  TV_n ÷ (1+r)^n  −  Initial Investment</t>
  </si>
  <si>
    <t xml:space="preserve">Terminal Value (TV)</t>
  </si>
  <si>
    <t xml:space="preserve">TV  =  NOI_(n+1) ÷ Exit Cap × (1 − Selling Costs)</t>
  </si>
  <si>
    <t xml:space="preserve">Rate where NPV(IRR) = 0; computed via Excel IRR() on the cash flow series</t>
  </si>
  <si>
    <t xml:space="preserve">Equity Multiple  =  Σ Positive Cash Flows ÷ Initial Investment</t>
  </si>
  <si>
    <t xml:space="preserve">DEVELOPMENT-STAGE RAMP</t>
  </si>
  <si>
    <t xml:space="preserve">Year 1–3 Occupancy</t>
  </si>
  <si>
    <t xml:space="preserve">Stabilized Occ × ramp factor (default 55% / 78% / 94%)</t>
  </si>
  <si>
    <t xml:space="preserve">Year 1–3 ADR</t>
  </si>
  <si>
    <t xml:space="preserve">Stabilized ADR × ramp factor (default 88% / 95% / 100%)</t>
  </si>
  <si>
    <t xml:space="preserve">Year 4+</t>
  </si>
  <si>
    <t xml:space="preserve">Stabilized assumptions, then compound growth</t>
  </si>
  <si>
    <t xml:space="preserve">Why it matters</t>
  </si>
  <si>
    <t xml:space="preserve">Hotels under-perform in early years; longer holds dilute the ramp drag on IRR.</t>
  </si>
  <si>
    <t xml:space="preserve">RENOVATION CYCLE LOGIC</t>
  </si>
  <si>
    <t xml:space="preserve">Trigger</t>
  </si>
  <si>
    <t xml:space="preserve">MOD(Year, Renovation Cycle) = 0  AND  Year ≥ Stabilization Period</t>
  </si>
  <si>
    <t xml:space="preserve">PIP Year</t>
  </si>
  <si>
    <t xml:space="preserve">Optional one-off Property Improvement Plan capex at user-set year</t>
  </si>
  <si>
    <t xml:space="preserve">Capex Amount</t>
  </si>
  <si>
    <t xml:space="preserve">% of that year's Total Revenue (default 12%)</t>
  </si>
  <si>
    <t xml:space="preserve">Industry norm</t>
  </si>
  <si>
    <t xml:space="preserve">Soft renovations every 5–7 yrs, full renovations every 10–15 yrs (HVS, STR)</t>
  </si>
  <si>
    <t xml:space="preserve">Departmental Exp.</t>
  </si>
  <si>
    <t xml:space="preserve">Direct costs of rooms + F&amp;B (~28–35% of revenue typical for upper upscale)</t>
  </si>
  <si>
    <t xml:space="preserve">Undistributed Op.</t>
  </si>
  <si>
    <t xml:space="preserve">Admin, sales/marketing, utilities, R&amp;M (~20–25% of revenue)</t>
  </si>
  <si>
    <t xml:space="preserve">Property Taxes &amp; Ins.</t>
  </si>
  <si>
    <t xml:space="preserve">~3–5% of revenue depending on jurisdiction</t>
  </si>
  <si>
    <t xml:space="preserve">Base + incentive; modeled here as flat % of revenue (3–4% typical)</t>
  </si>
  <si>
    <t xml:space="preserve">4% of revenue is the industry standard escrow rate</t>
  </si>
  <si>
    <t xml:space="preserve">Margin Compression</t>
  </si>
  <si>
    <t xml:space="preserve">Opex grows at user-set inflation; revenue at ADR growth — captures real-world margin drift</t>
  </si>
  <si>
    <t xml:space="preserve">SENSITIVITY METHODOLOGY</t>
  </si>
  <si>
    <t xml:space="preserve">Table 1</t>
  </si>
  <si>
    <t xml:space="preserve">NPV with Discount Rate (rows) × Exit Cap Rate (cols), 10-year hold</t>
  </si>
  <si>
    <t xml:space="preserve">Table 2</t>
  </si>
  <si>
    <t xml:space="preserve">NPV with Discount Rate (rows) × Holding Period (cols), all years</t>
  </si>
  <si>
    <t xml:space="preserve">Color scale</t>
  </si>
  <si>
    <t xml:space="preserve">Red = lowest, Green = highest — visual heatmap to spot break points</t>
  </si>
  <si>
    <t xml:space="preserve">All driven by formulas</t>
  </si>
  <si>
    <t xml:space="preserve">Change any input value to instantly re-flow every table &amp; chart</t>
  </si>
  <si>
    <t xml:space="preserve">DEFAULT INPUT BENCHMARKS</t>
  </si>
  <si>
    <t xml:space="preserve">Discount Rate (r)</t>
  </si>
  <si>
    <t xml:space="preserve">9.5% — typical unlevered IRR target for upper-upscale full-service hotels</t>
  </si>
  <si>
    <t xml:space="preserve">Terminal Cap Rate</t>
  </si>
  <si>
    <t xml:space="preserve">7.5% — reflects forward NOI risk; spread of ~75–150 bps over going-in cap</t>
  </si>
  <si>
    <t xml:space="preserve">ADR Growth</t>
  </si>
  <si>
    <t xml:space="preserve">3.0% — long-run; close to inflation</t>
  </si>
  <si>
    <t xml:space="preserve">Selling Costs</t>
  </si>
  <si>
    <t xml:space="preserve">2.0% — broker/legal/transfer at sale</t>
  </si>
  <si>
    <t xml:space="preserve">Renovation Cycle</t>
  </si>
  <si>
    <t xml:space="preserve">8 years — midpoint of 7–10 year industry norm</t>
  </si>
  <si>
    <t xml:space="preserve">HOW TO USE</t>
  </si>
  <si>
    <t xml:space="preserve">1.</t>
  </si>
  <si>
    <t xml:space="preserve">Open the Inputs sheet — modify any blue/yellow cell</t>
  </si>
  <si>
    <t xml:space="preserve">2.</t>
  </si>
  <si>
    <t xml:space="preserve">Watch CashFlow_20Y, Scenarios, Sensitivity, Summary, Charts auto-update</t>
  </si>
  <si>
    <t xml:space="preserve">3.</t>
  </si>
  <si>
    <t xml:space="preserve">Use Sensitivity tables to identify break-even discount rate or cap rate</t>
  </si>
  <si>
    <t xml:space="preserve">4.</t>
  </si>
  <si>
    <t xml:space="preserve">Use Summary to compare which holding period maximizes NPV vs. IRR (often different)</t>
  </si>
  <si>
    <t xml:space="preserve">5.</t>
  </si>
  <si>
    <t xml:space="preserve">Toggle Renovation Cycle between 7 / 8 / 9 / 10 years to test capex impact</t>
  </si>
  <si>
    <t xml:space="preserve">LIMITATIONS &amp; CAVEATS</t>
  </si>
  <si>
    <t xml:space="preserve">Unlevered analysis</t>
  </si>
  <si>
    <t xml:space="preserve">Does not include debt; add capital stack for levered IRR</t>
  </si>
  <si>
    <t xml:space="preserve">Single-scenario opex</t>
  </si>
  <si>
    <t xml:space="preserve">Stress tests on opex inflation should be run manually via Inputs!C30</t>
  </si>
  <si>
    <t xml:space="preserve">No tax</t>
  </si>
  <si>
    <t xml:space="preserve">Pre-tax cash flows; depreciation and tax shields not modeled</t>
  </si>
  <si>
    <t xml:space="preserve">Constant occupancy drift after Y4</t>
  </si>
  <si>
    <t xml:space="preserve">User-set drift rate; modify if assuming demand shocks</t>
  </si>
  <si>
    <t xml:space="preserve">Terminal cap rate constant</t>
  </si>
  <si>
    <t xml:space="preserve">Held flat across all sensitivities; can be made dynamic if needed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</si>
</sst>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%"/>
    <numFmt numFmtId="166" formatCode="#,##0"/>
    <numFmt numFmtId="167" formatCode="0"/>
    <numFmt numFmtId="168" formatCode="\$#,##0"/>
    <numFmt numFmtId="169" formatCode="0.00%"/>
    <numFmt numFmtId="170" formatCode="\$#,##0.00"/>
    <numFmt numFmtId="171" formatCode="0.0000"/>
    <numFmt numFmtId="172" formatCode="0.00\x"/>
    <numFmt numFmtId="173" formatCode="0&quot; yrs&quot;"/>
    <numFmt numFmtId="174" formatCode="0.00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B474D"/>
      <name val="Calibri"/>
      <family val="0"/>
      <charset val="1"/>
    </font>
    <font>
      <i val="true"/>
      <sz val="12"/>
      <color rgb="FF20808D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20808D"/>
      <name val="Calibri"/>
      <family val="0"/>
      <charset val="1"/>
    </font>
    <font>
      <b val="true"/>
      <sz val="10"/>
      <color rgb="FF0070C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1B5E20"/>
      <name val="Calibri"/>
      <family val="0"/>
      <charset val="1"/>
    </font>
    <font>
      <b val="true"/>
      <sz val="18"/>
      <color rgb="FF1B474D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color rgb="FFC62D42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name val="Arial"/>
      <family val="2"/>
    </font>
    <font>
      <b val="true"/>
      <sz val="10"/>
      <color rgb="FFFFFFFF"/>
      <name val="Calibri"/>
      <family val="0"/>
      <charset val="1"/>
    </font>
    <font>
      <i val="true"/>
      <sz val="1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b val="true"/>
      <sz val="11"/>
      <color rgb="FF1B474D"/>
      <name val="Cambria"/>
      <family val="0"/>
      <charset val="1"/>
    </font>
    <font>
      <b val="true"/>
      <sz val="20"/>
      <color rgb="FF1B474D"/>
      <name val="Calibri"/>
      <family val="0"/>
      <charset val="1"/>
    </font>
    <font>
      <sz val="10"/>
      <color rgb="FF595959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20808D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474D"/>
        <bgColor rgb="FF1F4E5F"/>
      </patternFill>
    </fill>
    <fill>
      <patternFill patternType="solid">
        <fgColor rgb="FFFFF2CC"/>
        <bgColor rgb="FFE8F0F2"/>
      </patternFill>
    </fill>
    <fill>
      <patternFill patternType="solid">
        <fgColor rgb="FFFFFFFF"/>
        <bgColor rgb="FFE8F0F2"/>
      </patternFill>
    </fill>
    <fill>
      <patternFill patternType="solid">
        <fgColor rgb="FFE8F0F2"/>
        <bgColor rgb="FFFFFFFF"/>
      </patternFill>
    </fill>
    <fill>
      <patternFill patternType="solid">
        <fgColor rgb="FFBCE2E7"/>
        <bgColor rgb="FFD9D9D9"/>
      </patternFill>
    </fill>
    <fill>
      <patternFill patternType="solid">
        <fgColor rgb="FF1F4E5F"/>
        <bgColor rgb="FF1B474D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medium">
        <color rgb="FF1B474D"/>
      </top>
      <bottom style="medium">
        <color rgb="FF1B474D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6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6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9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6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2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20808D"/>
      <rgbColor rgb="FFB3B3B3"/>
      <rgbColor rgb="FF808080"/>
      <rgbColor rgb="FF9999FF"/>
      <rgbColor rgb="FF944454"/>
      <rgbColor rgb="FFFFF2CC"/>
      <rgbColor rgb="FFE8F0F2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CE2E7"/>
      <rgbColor rgb="FFCCFFCC"/>
      <rgbColor rgb="FFFFFF99"/>
      <rgbColor rgb="FF99CCFF"/>
      <rgbColor rgb="FFFF99CC"/>
      <rgbColor rgb="FFCC99FF"/>
      <rgbColor rgb="FFFFC553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4E5F"/>
      <rgbColor rgb="FF339966"/>
      <rgbColor rgb="FF003300"/>
      <rgbColor rgb="FF333300"/>
      <rgbColor rgb="FFA84B2F"/>
      <rgbColor rgb="FFC62D42"/>
      <rgbColor rgb="FF333399"/>
      <rgbColor rgb="FF1B47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NPV by Holding Period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Charts!C6</c:f>
              <c:strCache>
                <c:ptCount val="1"/>
                <c:pt idx="0">
                  <c:v>NPV ($)</c:v>
                </c:pt>
              </c:strCache>
            </c:strRef>
          </c:tx>
          <c:spPr>
            <a:solidFill>
              <a:srgbClr val="20808d"/>
            </a:solidFill>
            <a:ln w="0">
              <a:noFill/>
            </a:ln>
          </c:spPr>
          <c:invertIfNegative val="0"/>
          <c:dLbls>
            <c:numFmt formatCode="\$#,##0" sourceLinked="1"/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Charts!$B$7:$B$11</c:f>
              <c:strCache>
                <c:ptCount val="5"/>
                <c:pt idx="0">
                  <c:v>5-Year</c:v>
                </c:pt>
                <c:pt idx="1">
                  <c:v>8-Year</c:v>
                </c:pt>
                <c:pt idx="2">
                  <c:v>10-Year</c:v>
                </c:pt>
                <c:pt idx="3">
                  <c:v>12-Year</c:v>
                </c:pt>
                <c:pt idx="4">
                  <c:v>20-Year</c:v>
                </c:pt>
              </c:strCache>
            </c:strRef>
          </c:cat>
          <c:val>
            <c:numRef>
              <c:f>Charts!$C$7:$C$11</c:f>
              <c:numCache>
                <c:formatCode>\$#,##0</c:formatCode>
                <c:ptCount val="5"/>
                <c:pt idx="0">
                  <c:v>134170912.747713</c:v>
                </c:pt>
                <c:pt idx="1">
                  <c:v>136563649.973629</c:v>
                </c:pt>
                <c:pt idx="2">
                  <c:v>139534890.752039</c:v>
                </c:pt>
                <c:pt idx="3">
                  <c:v>142214600.983339</c:v>
                </c:pt>
                <c:pt idx="4">
                  <c:v>148496261.600826</c:v>
                </c:pt>
              </c:numCache>
            </c:numRef>
          </c:val>
        </c:ser>
        <c:gapWidth val="150"/>
        <c:overlap val="0"/>
        <c:axId val="90583640"/>
        <c:axId val="32047501"/>
      </c:barChart>
      <c:catAx>
        <c:axId val="905836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Holding Period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2047501"/>
        <c:crosses val="autoZero"/>
        <c:auto val="1"/>
        <c:lblAlgn val="ctr"/>
        <c:lblOffset val="100"/>
        <c:noMultiLvlLbl val="0"/>
      </c:catAx>
      <c:valAx>
        <c:axId val="3204750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NPV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05836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IRR by Holding Period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Charts!D6</c:f>
              <c:strCache>
                <c:ptCount val="1"/>
                <c:pt idx="0">
                  <c:v>IRR (%)</c:v>
                </c:pt>
              </c:strCache>
            </c:strRef>
          </c:tx>
          <c:spPr>
            <a:solidFill>
              <a:srgbClr val="a84b2f"/>
            </a:solidFill>
            <a:ln w="0">
              <a:noFill/>
            </a:ln>
          </c:spPr>
          <c:invertIfNegative val="0"/>
          <c:dLbls>
            <c:numFmt formatCode="0.00%" sourceLinked="1"/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Charts!$B$7:$B$11</c:f>
              <c:strCache>
                <c:ptCount val="5"/>
                <c:pt idx="0">
                  <c:v>5-Year</c:v>
                </c:pt>
                <c:pt idx="1">
                  <c:v>8-Year</c:v>
                </c:pt>
                <c:pt idx="2">
                  <c:v>10-Year</c:v>
                </c:pt>
                <c:pt idx="3">
                  <c:v>12-Year</c:v>
                </c:pt>
                <c:pt idx="4">
                  <c:v>20-Year</c:v>
                </c:pt>
              </c:strCache>
            </c:strRef>
          </c:cat>
          <c:val>
            <c:numRef>
              <c:f>Charts!$D$7:$D$11</c:f>
              <c:numCache>
                <c:formatCode>0.00%</c:formatCode>
                <c:ptCount val="5"/>
                <c:pt idx="0">
                  <c:v>0.518438840297007</c:v>
                </c:pt>
                <c:pt idx="1">
                  <c:v>0.385010042604358</c:v>
                </c:pt>
                <c:pt idx="2">
                  <c:v>0.346724661035933</c:v>
                </c:pt>
                <c:pt idx="3">
                  <c:v>0.323590782386136</c:v>
                </c:pt>
                <c:pt idx="4">
                  <c:v>0.287086101146846</c:v>
                </c:pt>
              </c:numCache>
            </c:numRef>
          </c:val>
        </c:ser>
        <c:gapWidth val="150"/>
        <c:overlap val="0"/>
        <c:axId val="71713413"/>
        <c:axId val="22005762"/>
      </c:barChart>
      <c:catAx>
        <c:axId val="717134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Holding Period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005762"/>
        <c:crosses val="autoZero"/>
        <c:auto val="1"/>
        <c:lblAlgn val="ctr"/>
        <c:lblOffset val="100"/>
        <c:noMultiLvlLbl val="0"/>
      </c:catAx>
      <c:valAx>
        <c:axId val="2200576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IRR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7134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Cumulative Unlevered Cash Flow by Holding Period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Charts!C17</c:f>
              <c:strCache>
                <c:ptCount val="1"/>
                <c:pt idx="0">
                  <c:v>5-Year</c:v>
                </c:pt>
              </c:strCache>
            </c:strRef>
          </c:tx>
          <c:spPr>
            <a:solidFill>
              <a:srgbClr val="20808d"/>
            </a:solidFill>
            <a:ln w="21960">
              <a:solidFill>
                <a:srgbClr val="20808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Charts!$B$18:$B$38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Charts!$C$18:$C$38</c:f>
              <c:numCache>
                <c:formatCode>\$#,##0</c:formatCode>
                <c:ptCount val="21"/>
                <c:pt idx="0">
                  <c:v>-42000000</c:v>
                </c:pt>
                <c:pt idx="1">
                  <c:v>-35742646.59</c:v>
                </c:pt>
                <c:pt idx="2">
                  <c:v>-27005954.11395</c:v>
                </c:pt>
                <c:pt idx="3">
                  <c:v>-15557461.8926685</c:v>
                </c:pt>
                <c:pt idx="4">
                  <c:v>-2240477.12278856</c:v>
                </c:pt>
                <c:pt idx="5">
                  <c:v>226318832.987748</c:v>
                </c:pt>
                <c:pt idx="6">
                  <c:v>226318832.987748</c:v>
                </c:pt>
                <c:pt idx="7">
                  <c:v>226318832.987748</c:v>
                </c:pt>
                <c:pt idx="8">
                  <c:v>226318832.987748</c:v>
                </c:pt>
                <c:pt idx="9">
                  <c:v>226318832.987748</c:v>
                </c:pt>
                <c:pt idx="10">
                  <c:v>226318832.987748</c:v>
                </c:pt>
                <c:pt idx="11">
                  <c:v>226318832.987748</c:v>
                </c:pt>
                <c:pt idx="12">
                  <c:v>226318832.987748</c:v>
                </c:pt>
                <c:pt idx="13">
                  <c:v>226318832.987748</c:v>
                </c:pt>
                <c:pt idx="14">
                  <c:v>226318832.987748</c:v>
                </c:pt>
                <c:pt idx="15">
                  <c:v>226318832.987748</c:v>
                </c:pt>
                <c:pt idx="16">
                  <c:v>226318832.987748</c:v>
                </c:pt>
                <c:pt idx="17">
                  <c:v>226318832.987748</c:v>
                </c:pt>
                <c:pt idx="18">
                  <c:v>226318832.987748</c:v>
                </c:pt>
                <c:pt idx="19">
                  <c:v>226318832.987748</c:v>
                </c:pt>
                <c:pt idx="20">
                  <c:v>226318832.987748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Charts!D17</c:f>
              <c:strCache>
                <c:ptCount val="1"/>
                <c:pt idx="0">
                  <c:v>8-Year</c:v>
                </c:pt>
              </c:strCache>
            </c:strRef>
          </c:tx>
          <c:spPr>
            <a:solidFill>
              <a:srgbClr val="a84b2f"/>
            </a:solidFill>
            <a:ln w="21960">
              <a:solidFill>
                <a:srgbClr val="a84b2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Charts!$B$18:$B$38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Charts!$D$18:$D$38</c:f>
              <c:numCache>
                <c:formatCode>\$#,##0</c:formatCode>
                <c:ptCount val="21"/>
                <c:pt idx="0">
                  <c:v>-42000000</c:v>
                </c:pt>
                <c:pt idx="1">
                  <c:v>-35742646.59</c:v>
                </c:pt>
                <c:pt idx="2">
                  <c:v>-27005954.11395</c:v>
                </c:pt>
                <c:pt idx="3">
                  <c:v>-15557461.8926685</c:v>
                </c:pt>
                <c:pt idx="4">
                  <c:v>-2240477.12278856</c:v>
                </c:pt>
                <c:pt idx="5">
                  <c:v>11649851.0098797</c:v>
                </c:pt>
                <c:pt idx="6">
                  <c:v>26136599.3949635</c:v>
                </c:pt>
                <c:pt idx="7">
                  <c:v>41243737.7144967</c:v>
                </c:pt>
                <c:pt idx="8">
                  <c:v>294122778.53803</c:v>
                </c:pt>
                <c:pt idx="9">
                  <c:v>294122778.53803</c:v>
                </c:pt>
                <c:pt idx="10">
                  <c:v>294122778.53803</c:v>
                </c:pt>
                <c:pt idx="11">
                  <c:v>294122778.53803</c:v>
                </c:pt>
                <c:pt idx="12">
                  <c:v>294122778.53803</c:v>
                </c:pt>
                <c:pt idx="13">
                  <c:v>294122778.53803</c:v>
                </c:pt>
                <c:pt idx="14">
                  <c:v>294122778.53803</c:v>
                </c:pt>
                <c:pt idx="15">
                  <c:v>294122778.53803</c:v>
                </c:pt>
                <c:pt idx="16">
                  <c:v>294122778.53803</c:v>
                </c:pt>
                <c:pt idx="17">
                  <c:v>294122778.53803</c:v>
                </c:pt>
                <c:pt idx="18">
                  <c:v>294122778.53803</c:v>
                </c:pt>
                <c:pt idx="19">
                  <c:v>294122778.53803</c:v>
                </c:pt>
                <c:pt idx="20">
                  <c:v>294122778.53803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Charts!E17</c:f>
              <c:strCache>
                <c:ptCount val="1"/>
                <c:pt idx="0">
                  <c:v>10-Year</c:v>
                </c:pt>
              </c:strCache>
            </c:strRef>
          </c:tx>
          <c:spPr>
            <a:solidFill>
              <a:srgbClr val="1b474d"/>
            </a:solidFill>
            <a:ln w="21960">
              <a:solidFill>
                <a:srgbClr val="1b47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Charts!$B$18:$B$38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Charts!$E$18:$E$38</c:f>
              <c:numCache>
                <c:formatCode>\$#,##0</c:formatCode>
                <c:ptCount val="21"/>
                <c:pt idx="0">
                  <c:v>-42000000</c:v>
                </c:pt>
                <c:pt idx="1">
                  <c:v>-35742646.59</c:v>
                </c:pt>
                <c:pt idx="2">
                  <c:v>-27005954.11395</c:v>
                </c:pt>
                <c:pt idx="3">
                  <c:v>-15557461.8926685</c:v>
                </c:pt>
                <c:pt idx="4">
                  <c:v>-2240477.12278856</c:v>
                </c:pt>
                <c:pt idx="5">
                  <c:v>11649851.0098797</c:v>
                </c:pt>
                <c:pt idx="6">
                  <c:v>26136599.3949635</c:v>
                </c:pt>
                <c:pt idx="7">
                  <c:v>41243737.7144967</c:v>
                </c:pt>
                <c:pt idx="8">
                  <c:v>51457961.6230899</c:v>
                </c:pt>
                <c:pt idx="9">
                  <c:v>67881529.6290398</c:v>
                </c:pt>
                <c:pt idx="10">
                  <c:v>348222315.70725</c:v>
                </c:pt>
                <c:pt idx="11">
                  <c:v>348222315.70725</c:v>
                </c:pt>
                <c:pt idx="12">
                  <c:v>348222315.70725</c:v>
                </c:pt>
                <c:pt idx="13">
                  <c:v>348222315.70725</c:v>
                </c:pt>
                <c:pt idx="14">
                  <c:v>348222315.70725</c:v>
                </c:pt>
                <c:pt idx="15">
                  <c:v>348222315.70725</c:v>
                </c:pt>
                <c:pt idx="16">
                  <c:v>348222315.70725</c:v>
                </c:pt>
                <c:pt idx="17">
                  <c:v>348222315.70725</c:v>
                </c:pt>
                <c:pt idx="18">
                  <c:v>348222315.70725</c:v>
                </c:pt>
                <c:pt idx="19">
                  <c:v>348222315.70725</c:v>
                </c:pt>
                <c:pt idx="20">
                  <c:v>348222315.70725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Charts!F17</c:f>
              <c:strCache>
                <c:ptCount val="1"/>
                <c:pt idx="0">
                  <c:v>12-Year</c:v>
                </c:pt>
              </c:strCache>
            </c:strRef>
          </c:tx>
          <c:spPr>
            <a:solidFill>
              <a:srgbClr val="ffc553"/>
            </a:solidFill>
            <a:ln w="21960">
              <a:solidFill>
                <a:srgbClr val="ffc55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Charts!$B$18:$B$38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Charts!$F$18:$F$38</c:f>
              <c:numCache>
                <c:formatCode>\$#,##0</c:formatCode>
                <c:ptCount val="21"/>
                <c:pt idx="0">
                  <c:v>-42000000</c:v>
                </c:pt>
                <c:pt idx="1">
                  <c:v>-35742646.59</c:v>
                </c:pt>
                <c:pt idx="2">
                  <c:v>-27005954.11395</c:v>
                </c:pt>
                <c:pt idx="3">
                  <c:v>-15557461.8926685</c:v>
                </c:pt>
                <c:pt idx="4">
                  <c:v>-2240477.12278856</c:v>
                </c:pt>
                <c:pt idx="5">
                  <c:v>11649851.0098797</c:v>
                </c:pt>
                <c:pt idx="6">
                  <c:v>26136599.3949635</c:v>
                </c:pt>
                <c:pt idx="7">
                  <c:v>41243737.7144967</c:v>
                </c:pt>
                <c:pt idx="8">
                  <c:v>51457961.6230899</c:v>
                </c:pt>
                <c:pt idx="9">
                  <c:v>67881529.6290398</c:v>
                </c:pt>
                <c:pt idx="10">
                  <c:v>85003096.3629834</c:v>
                </c:pt>
                <c:pt idx="11">
                  <c:v>102850552.093532</c:v>
                </c:pt>
                <c:pt idx="12">
                  <c:v>406876655.903777</c:v>
                </c:pt>
                <c:pt idx="13">
                  <c:v>406876655.903777</c:v>
                </c:pt>
                <c:pt idx="14">
                  <c:v>406876655.903777</c:v>
                </c:pt>
                <c:pt idx="15">
                  <c:v>406876655.903777</c:v>
                </c:pt>
                <c:pt idx="16">
                  <c:v>406876655.903777</c:v>
                </c:pt>
                <c:pt idx="17">
                  <c:v>406876655.903777</c:v>
                </c:pt>
                <c:pt idx="18">
                  <c:v>406876655.903777</c:v>
                </c:pt>
                <c:pt idx="19">
                  <c:v>406876655.903777</c:v>
                </c:pt>
                <c:pt idx="20">
                  <c:v>406876655.903777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Charts!G17</c:f>
              <c:strCache>
                <c:ptCount val="1"/>
                <c:pt idx="0">
                  <c:v>20-Year</c:v>
                </c:pt>
              </c:strCache>
            </c:strRef>
          </c:tx>
          <c:spPr>
            <a:solidFill>
              <a:srgbClr val="944454"/>
            </a:solidFill>
            <a:ln w="21960">
              <a:solidFill>
                <a:srgbClr val="94445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Charts!$B$18:$B$38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Charts!$G$18:$G$38</c:f>
              <c:numCache>
                <c:formatCode>\$#,##0</c:formatCode>
                <c:ptCount val="21"/>
                <c:pt idx="0">
                  <c:v>-42000000</c:v>
                </c:pt>
                <c:pt idx="1">
                  <c:v>-35742646.59</c:v>
                </c:pt>
                <c:pt idx="2">
                  <c:v>-27005954.11395</c:v>
                </c:pt>
                <c:pt idx="3">
                  <c:v>-15557461.8926685</c:v>
                </c:pt>
                <c:pt idx="4">
                  <c:v>-2240477.12278856</c:v>
                </c:pt>
                <c:pt idx="5">
                  <c:v>11649851.0098797</c:v>
                </c:pt>
                <c:pt idx="6">
                  <c:v>26136599.3949635</c:v>
                </c:pt>
                <c:pt idx="7">
                  <c:v>41243737.7144967</c:v>
                </c:pt>
                <c:pt idx="8">
                  <c:v>51457961.6230899</c:v>
                </c:pt>
                <c:pt idx="9">
                  <c:v>67881529.6290398</c:v>
                </c:pt>
                <c:pt idx="10">
                  <c:v>85003096.3629834</c:v>
                </c:pt>
                <c:pt idx="11">
                  <c:v>102850552.093532</c:v>
                </c:pt>
                <c:pt idx="12">
                  <c:v>121452861.17986</c:v>
                </c:pt>
                <c:pt idx="13">
                  <c:v>140840102.455712</c:v>
                </c:pt>
                <c:pt idx="14">
                  <c:v>161043511.106896</c:v>
                </c:pt>
                <c:pt idx="15">
                  <c:v>182095522.096837</c:v>
                </c:pt>
                <c:pt idx="16">
                  <c:v>196784968.372172</c:v>
                </c:pt>
                <c:pt idx="17">
                  <c:v>219636514.854513</c:v>
                </c:pt>
                <c:pt idx="18">
                  <c:v>243441625.910289</c:v>
                </c:pt>
                <c:pt idx="19">
                  <c:v>268238002.853361</c:v>
                </c:pt>
                <c:pt idx="20">
                  <c:v>685373414.737564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1113752"/>
        <c:axId val="1360013"/>
      </c:lineChart>
      <c:catAx>
        <c:axId val="411137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60013"/>
        <c:crosses val="autoZero"/>
        <c:auto val="1"/>
        <c:lblAlgn val="ctr"/>
        <c:lblOffset val="100"/>
        <c:noMultiLvlLbl val="0"/>
      </c:catAx>
      <c:valAx>
        <c:axId val="136001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Cumulative Cash Flow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1137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70560</xdr:rowOff>
    </xdr:from>
    <xdr:to>
      <xdr:col>11</xdr:col>
      <xdr:colOff>838440</xdr:colOff>
      <xdr:row>22</xdr:row>
      <xdr:rowOff>48600</xdr:rowOff>
    </xdr:to>
    <xdr:graphicFrame>
      <xdr:nvGraphicFramePr>
        <xdr:cNvPr id="0" name="Chart 1"/>
        <xdr:cNvGraphicFramePr/>
      </xdr:nvGraphicFramePr>
      <xdr:xfrm>
        <a:off x="6696000" y="756360"/>
        <a:ext cx="6477480" cy="359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23</xdr:row>
      <xdr:rowOff>70560</xdr:rowOff>
    </xdr:from>
    <xdr:to>
      <xdr:col>11</xdr:col>
      <xdr:colOff>838440</xdr:colOff>
      <xdr:row>42</xdr:row>
      <xdr:rowOff>48600</xdr:rowOff>
    </xdr:to>
    <xdr:graphicFrame>
      <xdr:nvGraphicFramePr>
        <xdr:cNvPr id="1" name="Chart 2"/>
        <xdr:cNvGraphicFramePr/>
      </xdr:nvGraphicFramePr>
      <xdr:xfrm>
        <a:off x="6696000" y="4566240"/>
        <a:ext cx="6477480" cy="359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14</xdr:row>
      <xdr:rowOff>70560</xdr:rowOff>
    </xdr:from>
    <xdr:to>
      <xdr:col>14</xdr:col>
      <xdr:colOff>430920</xdr:colOff>
      <xdr:row>35</xdr:row>
      <xdr:rowOff>27720</xdr:rowOff>
    </xdr:to>
    <xdr:graphicFrame>
      <xdr:nvGraphicFramePr>
        <xdr:cNvPr id="2" name="Chart 3"/>
        <xdr:cNvGraphicFramePr/>
      </xdr:nvGraphicFramePr>
      <xdr:xfrm>
        <a:off x="8951760" y="2851920"/>
        <a:ext cx="7197480" cy="395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10" min="3" style="1" width="18"/>
  </cols>
  <sheetData>
    <row r="2" customFormat="false" ht="31.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.75" hidden="false" customHeight="true" outlineLevel="0" collapsed="false">
      <c r="B5" s="4" t="s">
        <v>2</v>
      </c>
      <c r="C5" s="4"/>
      <c r="D5" s="4"/>
      <c r="E5" s="4"/>
      <c r="F5" s="4"/>
      <c r="G5" s="4"/>
      <c r="H5" s="4"/>
      <c r="I5" s="4"/>
    </row>
    <row r="7" customFormat="false" ht="15" hidden="false" customHeight="true" outlineLevel="0" collapsed="false">
      <c r="B7" s="5" t="s">
        <v>3</v>
      </c>
      <c r="C7" s="5"/>
      <c r="D7" s="5"/>
      <c r="E7" s="5"/>
      <c r="F7" s="5"/>
      <c r="G7" s="5"/>
      <c r="H7" s="5"/>
      <c r="I7" s="5"/>
    </row>
    <row r="8" customFormat="false" ht="15" hidden="false" customHeight="true" outlineLevel="0" collapsed="false">
      <c r="B8" s="5" t="s">
        <v>4</v>
      </c>
      <c r="C8" s="5"/>
      <c r="D8" s="5"/>
      <c r="E8" s="5"/>
      <c r="F8" s="5"/>
      <c r="G8" s="5"/>
      <c r="H8" s="5"/>
      <c r="I8" s="5"/>
    </row>
    <row r="9" customFormat="false" ht="15" hidden="false" customHeight="true" outlineLevel="0" collapsed="false">
      <c r="B9" s="5"/>
      <c r="C9" s="5"/>
      <c r="D9" s="5"/>
      <c r="E9" s="5"/>
      <c r="F9" s="5"/>
      <c r="G9" s="5"/>
      <c r="H9" s="5"/>
      <c r="I9" s="5"/>
    </row>
    <row r="10" customFormat="false" ht="15" hidden="false" customHeight="true" outlineLevel="0" collapsed="false">
      <c r="B10" s="5" t="s">
        <v>5</v>
      </c>
      <c r="C10" s="5"/>
      <c r="D10" s="5"/>
      <c r="E10" s="5"/>
      <c r="F10" s="5"/>
      <c r="G10" s="5"/>
      <c r="H10" s="5"/>
      <c r="I10" s="5"/>
    </row>
    <row r="11" customFormat="false" ht="15" hidden="false" customHeight="true" outlineLevel="0" collapsed="false">
      <c r="B11" s="5" t="s">
        <v>6</v>
      </c>
      <c r="C11" s="5"/>
      <c r="D11" s="5"/>
      <c r="E11" s="5"/>
      <c r="F11" s="5"/>
      <c r="G11" s="5"/>
      <c r="H11" s="5"/>
      <c r="I11" s="5"/>
    </row>
    <row r="14" customFormat="false" ht="15.75" hidden="false" customHeight="true" outlineLevel="0" collapsed="false">
      <c r="B14" s="4" t="s">
        <v>7</v>
      </c>
      <c r="C14" s="4"/>
      <c r="D14" s="4"/>
      <c r="E14" s="4"/>
      <c r="F14" s="4"/>
      <c r="G14" s="4"/>
      <c r="H14" s="4"/>
      <c r="I14" s="4"/>
    </row>
    <row r="16" customFormat="false" ht="15" hidden="false" customHeight="true" outlineLevel="0" collapsed="false">
      <c r="B16" s="6" t="s">
        <v>8</v>
      </c>
      <c r="C16" s="5" t="s">
        <v>9</v>
      </c>
      <c r="D16" s="5"/>
      <c r="E16" s="5"/>
      <c r="F16" s="5"/>
      <c r="G16" s="5"/>
      <c r="H16" s="5"/>
      <c r="I16" s="5"/>
    </row>
    <row r="17" customFormat="false" ht="15" hidden="false" customHeight="true" outlineLevel="0" collapsed="false">
      <c r="B17" s="6" t="s">
        <v>10</v>
      </c>
      <c r="C17" s="5" t="s">
        <v>11</v>
      </c>
      <c r="D17" s="5"/>
      <c r="E17" s="5"/>
      <c r="F17" s="5"/>
      <c r="G17" s="5"/>
      <c r="H17" s="5"/>
      <c r="I17" s="5"/>
    </row>
    <row r="18" customFormat="false" ht="15" hidden="false" customHeight="true" outlineLevel="0" collapsed="false">
      <c r="B18" s="6" t="s">
        <v>12</v>
      </c>
      <c r="C18" s="5" t="s">
        <v>13</v>
      </c>
      <c r="D18" s="5"/>
      <c r="E18" s="5"/>
      <c r="F18" s="5"/>
      <c r="G18" s="5"/>
      <c r="H18" s="5"/>
      <c r="I18" s="5"/>
    </row>
    <row r="19" customFormat="false" ht="15" hidden="false" customHeight="true" outlineLevel="0" collapsed="false">
      <c r="B19" s="6" t="s">
        <v>14</v>
      </c>
      <c r="C19" s="5" t="s">
        <v>15</v>
      </c>
      <c r="D19" s="5"/>
      <c r="E19" s="5"/>
      <c r="F19" s="5"/>
      <c r="G19" s="5"/>
      <c r="H19" s="5"/>
      <c r="I19" s="5"/>
    </row>
    <row r="20" customFormat="false" ht="15" hidden="false" customHeight="true" outlineLevel="0" collapsed="false">
      <c r="B20" s="6" t="s">
        <v>16</v>
      </c>
      <c r="C20" s="5" t="s">
        <v>17</v>
      </c>
      <c r="D20" s="5"/>
      <c r="E20" s="5"/>
      <c r="F20" s="5"/>
      <c r="G20" s="5"/>
      <c r="H20" s="5"/>
      <c r="I20" s="5"/>
    </row>
    <row r="21" customFormat="false" ht="15" hidden="false" customHeight="true" outlineLevel="0" collapsed="false">
      <c r="B21" s="6" t="s">
        <v>18</v>
      </c>
      <c r="C21" s="5" t="s">
        <v>19</v>
      </c>
      <c r="D21" s="5"/>
      <c r="E21" s="5"/>
      <c r="F21" s="5"/>
      <c r="G21" s="5"/>
      <c r="H21" s="5"/>
      <c r="I21" s="5"/>
    </row>
    <row r="22" customFormat="false" ht="15" hidden="false" customHeight="true" outlineLevel="0" collapsed="false">
      <c r="B22" s="6" t="s">
        <v>20</v>
      </c>
      <c r="C22" s="5" t="s">
        <v>21</v>
      </c>
      <c r="D22" s="5"/>
      <c r="E22" s="5"/>
      <c r="F22" s="5"/>
      <c r="G22" s="5"/>
      <c r="H22" s="5"/>
      <c r="I22" s="5"/>
    </row>
    <row r="25" customFormat="false" ht="15.75" hidden="false" customHeight="true" outlineLevel="0" collapsed="false">
      <c r="B25" s="4" t="s">
        <v>22</v>
      </c>
      <c r="C25" s="4"/>
      <c r="D25" s="4"/>
      <c r="E25" s="4"/>
      <c r="F25" s="4"/>
      <c r="G25" s="4"/>
      <c r="H25" s="4"/>
      <c r="I25" s="4"/>
    </row>
    <row r="27" customFormat="false" ht="15" hidden="false" customHeight="true" outlineLevel="0" collapsed="false">
      <c r="B27" s="7" t="n">
        <v>0.075</v>
      </c>
      <c r="C27" s="5" t="s">
        <v>23</v>
      </c>
      <c r="D27" s="5"/>
      <c r="E27" s="5"/>
      <c r="F27" s="5"/>
      <c r="G27" s="5"/>
      <c r="H27" s="5"/>
      <c r="I27" s="5"/>
    </row>
    <row r="28" customFormat="false" ht="15" hidden="false" customHeight="true" outlineLevel="0" collapsed="false">
      <c r="B28" s="8" t="s">
        <v>24</v>
      </c>
      <c r="C28" s="5" t="s">
        <v>25</v>
      </c>
      <c r="D28" s="5"/>
      <c r="E28" s="5"/>
      <c r="F28" s="5"/>
      <c r="G28" s="5"/>
      <c r="H28" s="5"/>
      <c r="I28" s="5"/>
    </row>
    <row r="29" customFormat="false" ht="15" hidden="false" customHeight="true" outlineLevel="0" collapsed="false">
      <c r="B29" s="9" t="s">
        <v>26</v>
      </c>
      <c r="C29" s="5" t="s">
        <v>27</v>
      </c>
      <c r="D29" s="5"/>
      <c r="E29" s="5"/>
      <c r="F29" s="5"/>
      <c r="G29" s="5"/>
      <c r="H29" s="5"/>
      <c r="I29" s="5"/>
    </row>
  </sheetData>
  <mergeCells count="18">
    <mergeCell ref="B5:I5"/>
    <mergeCell ref="B7:I7"/>
    <mergeCell ref="B8:I8"/>
    <mergeCell ref="B9:I9"/>
    <mergeCell ref="B10:I10"/>
    <mergeCell ref="B11:I11"/>
    <mergeCell ref="B14:I14"/>
    <mergeCell ref="C16:I16"/>
    <mergeCell ref="C17:I17"/>
    <mergeCell ref="C18:I18"/>
    <mergeCell ref="C19:I19"/>
    <mergeCell ref="C20:I20"/>
    <mergeCell ref="C21:I21"/>
    <mergeCell ref="C22:I22"/>
    <mergeCell ref="B25:I25"/>
    <mergeCell ref="C27:I27"/>
    <mergeCell ref="C28:I28"/>
    <mergeCell ref="C29:I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7" min="3" style="1" width="16"/>
    <col collapsed="false" customWidth="true" hidden="false" outlineLevel="0" max="9" min="8" style="1" width="14"/>
  </cols>
  <sheetData>
    <row r="2" customFormat="false" ht="21.75" hidden="false" customHeight="true" outlineLevel="0" collapsed="false">
      <c r="B2" s="10" t="s">
        <v>28</v>
      </c>
    </row>
    <row r="3" customFormat="false" ht="15" hidden="false" customHeight="true" outlineLevel="0" collapsed="false">
      <c r="B3" s="11" t="s">
        <v>29</v>
      </c>
    </row>
    <row r="5" customFormat="false" ht="15" hidden="false" customHeight="true" outlineLevel="0" collapsed="false">
      <c r="B5" s="12" t="s">
        <v>30</v>
      </c>
      <c r="C5" s="12"/>
      <c r="D5" s="12"/>
      <c r="E5" s="12"/>
      <c r="F5" s="12"/>
    </row>
    <row r="6" customFormat="false" ht="15" hidden="false" customHeight="true" outlineLevel="0" collapsed="false">
      <c r="B6" s="13" t="s">
        <v>31</v>
      </c>
      <c r="C6" s="14" t="n">
        <v>35</v>
      </c>
    </row>
    <row r="7" customFormat="false" ht="15" hidden="false" customHeight="true" outlineLevel="0" collapsed="false">
      <c r="B7" s="13" t="s">
        <v>32</v>
      </c>
      <c r="C7" s="15" t="s">
        <v>33</v>
      </c>
    </row>
    <row r="8" customFormat="false" ht="15" hidden="false" customHeight="true" outlineLevel="0" collapsed="false">
      <c r="B8" s="13" t="s">
        <v>34</v>
      </c>
      <c r="C8" s="16" t="n">
        <v>3</v>
      </c>
    </row>
    <row r="9" customFormat="false" ht="15" hidden="false" customHeight="true" outlineLevel="0" collapsed="false">
      <c r="B9" s="13" t="s">
        <v>35</v>
      </c>
      <c r="C9" s="7" t="n">
        <f aca="false">VLOOKUP($C$46,$B$49:$E$51,3,FALSE())</f>
        <v>0.62</v>
      </c>
    </row>
    <row r="10" customFormat="false" ht="15" hidden="false" customHeight="true" outlineLevel="0" collapsed="false">
      <c r="B10" s="13" t="s">
        <v>36</v>
      </c>
      <c r="C10" s="17" t="n">
        <f aca="false">VLOOKUP($C$46,$B$49:$E$51,2,FALSE())</f>
        <v>4200</v>
      </c>
    </row>
    <row r="11" customFormat="false" ht="15" hidden="false" customHeight="true" outlineLevel="0" collapsed="false">
      <c r="B11" s="13" t="s">
        <v>37</v>
      </c>
      <c r="C11" s="7" t="n">
        <v>0.4</v>
      </c>
    </row>
    <row r="12" customFormat="false" ht="15" hidden="false" customHeight="true" outlineLevel="0" collapsed="false">
      <c r="B12" s="13" t="s">
        <v>38</v>
      </c>
      <c r="C12" s="7" t="n">
        <v>0.12</v>
      </c>
    </row>
    <row r="14" customFormat="false" ht="15" hidden="false" customHeight="true" outlineLevel="0" collapsed="false">
      <c r="B14" s="12" t="s">
        <v>39</v>
      </c>
      <c r="C14" s="12"/>
      <c r="D14" s="12"/>
      <c r="E14" s="12"/>
      <c r="F14" s="12"/>
    </row>
    <row r="15" customFormat="false" ht="15" hidden="false" customHeight="true" outlineLevel="0" collapsed="false">
      <c r="B15" s="18" t="s">
        <v>40</v>
      </c>
      <c r="C15" s="19" t="s">
        <v>41</v>
      </c>
      <c r="D15" s="19" t="s">
        <v>42</v>
      </c>
      <c r="E15" s="19" t="s">
        <v>43</v>
      </c>
      <c r="F15" s="19" t="s">
        <v>44</v>
      </c>
    </row>
    <row r="16" customFormat="false" ht="15" hidden="false" customHeight="true" outlineLevel="0" collapsed="false">
      <c r="B16" s="13" t="s">
        <v>45</v>
      </c>
      <c r="C16" s="7" t="n">
        <v>0.5</v>
      </c>
      <c r="D16" s="7" t="n">
        <v>0.7</v>
      </c>
      <c r="E16" s="7" t="n">
        <v>0.88</v>
      </c>
      <c r="F16" s="7" t="n">
        <v>1</v>
      </c>
    </row>
    <row r="17" customFormat="false" ht="15" hidden="false" customHeight="true" outlineLevel="0" collapsed="false">
      <c r="B17" s="13" t="s">
        <v>46</v>
      </c>
      <c r="C17" s="7" t="n">
        <v>0.75</v>
      </c>
      <c r="D17" s="7" t="n">
        <v>0.85</v>
      </c>
      <c r="E17" s="7" t="n">
        <v>0.95</v>
      </c>
      <c r="F17" s="7" t="n">
        <v>1</v>
      </c>
    </row>
    <row r="19" customFormat="false" ht="15" hidden="false" customHeight="true" outlineLevel="0" collapsed="false">
      <c r="B19" s="12" t="s">
        <v>47</v>
      </c>
      <c r="C19" s="12"/>
      <c r="D19" s="12"/>
      <c r="E19" s="12"/>
      <c r="F19" s="12"/>
    </row>
    <row r="20" customFormat="false" ht="15" hidden="false" customHeight="true" outlineLevel="0" collapsed="false">
      <c r="B20" s="13" t="s">
        <v>48</v>
      </c>
      <c r="C20" s="7" t="n">
        <v>0.36</v>
      </c>
    </row>
    <row r="21" customFormat="false" ht="15" hidden="false" customHeight="true" outlineLevel="0" collapsed="false">
      <c r="B21" s="13" t="s">
        <v>49</v>
      </c>
      <c r="C21" s="7" t="n">
        <v>0.2</v>
      </c>
    </row>
    <row r="22" customFormat="false" ht="15" hidden="false" customHeight="true" outlineLevel="0" collapsed="false">
      <c r="B22" s="13" t="s">
        <v>50</v>
      </c>
      <c r="C22" s="7" t="n">
        <v>0.03</v>
      </c>
    </row>
    <row r="23" customFormat="false" ht="15" hidden="false" customHeight="true" outlineLevel="0" collapsed="false">
      <c r="B23" s="13" t="s">
        <v>51</v>
      </c>
      <c r="C23" s="7" t="n">
        <v>0.035</v>
      </c>
    </row>
    <row r="24" customFormat="false" ht="15" hidden="false" customHeight="true" outlineLevel="0" collapsed="false">
      <c r="B24" s="13" t="s">
        <v>52</v>
      </c>
      <c r="C24" s="7" t="n">
        <v>0.045</v>
      </c>
    </row>
    <row r="26" customFormat="false" ht="15" hidden="false" customHeight="true" outlineLevel="0" collapsed="false">
      <c r="B26" s="12" t="s">
        <v>53</v>
      </c>
      <c r="C26" s="12"/>
      <c r="D26" s="12"/>
      <c r="E26" s="12"/>
      <c r="F26" s="12"/>
    </row>
    <row r="27" customFormat="false" ht="15" hidden="false" customHeight="true" outlineLevel="0" collapsed="false">
      <c r="B27" s="13" t="s">
        <v>54</v>
      </c>
      <c r="C27" s="20" t="n">
        <v>0.035</v>
      </c>
    </row>
    <row r="28" customFormat="false" ht="15" hidden="false" customHeight="true" outlineLevel="0" collapsed="false">
      <c r="B28" s="13" t="s">
        <v>55</v>
      </c>
      <c r="C28" s="20" t="n">
        <v>0</v>
      </c>
    </row>
    <row r="29" customFormat="false" ht="15" hidden="false" customHeight="true" outlineLevel="0" collapsed="false">
      <c r="B29" s="13" t="s">
        <v>56</v>
      </c>
      <c r="C29" s="20" t="n">
        <v>0.03</v>
      </c>
    </row>
    <row r="30" customFormat="false" ht="15" hidden="false" customHeight="true" outlineLevel="0" collapsed="false">
      <c r="B30" s="13" t="s">
        <v>57</v>
      </c>
      <c r="C30" s="20" t="n">
        <v>0.03</v>
      </c>
    </row>
    <row r="32" customFormat="false" ht="15" hidden="false" customHeight="true" outlineLevel="0" collapsed="false">
      <c r="B32" s="12" t="s">
        <v>58</v>
      </c>
      <c r="C32" s="12"/>
      <c r="D32" s="12"/>
      <c r="E32" s="12"/>
      <c r="F32" s="12"/>
    </row>
    <row r="33" customFormat="false" ht="15" hidden="false" customHeight="true" outlineLevel="0" collapsed="false">
      <c r="B33" s="13" t="s">
        <v>59</v>
      </c>
      <c r="C33" s="17" t="n">
        <v>42000000</v>
      </c>
    </row>
    <row r="34" customFormat="false" ht="15" hidden="false" customHeight="true" outlineLevel="0" collapsed="false">
      <c r="B34" s="13" t="s">
        <v>60</v>
      </c>
      <c r="C34" s="20" t="n">
        <v>0.095</v>
      </c>
    </row>
    <row r="35" customFormat="false" ht="15" hidden="false" customHeight="true" outlineLevel="0" collapsed="false">
      <c r="B35" s="13" t="s">
        <v>61</v>
      </c>
      <c r="C35" s="20" t="n">
        <v>0.075</v>
      </c>
    </row>
    <row r="36" customFormat="false" ht="15" hidden="false" customHeight="true" outlineLevel="0" collapsed="false">
      <c r="B36" s="13" t="s">
        <v>62</v>
      </c>
      <c r="C36" s="7" t="n">
        <v>0.02</v>
      </c>
    </row>
    <row r="37" customFormat="false" ht="15" hidden="false" customHeight="true" outlineLevel="0" collapsed="false">
      <c r="B37" s="13" t="s">
        <v>63</v>
      </c>
      <c r="C37" s="16" t="n">
        <v>8</v>
      </c>
    </row>
    <row r="38" customFormat="false" ht="15" hidden="false" customHeight="true" outlineLevel="0" collapsed="false">
      <c r="B38" s="13" t="s">
        <v>64</v>
      </c>
      <c r="C38" s="7" t="n">
        <v>0.12</v>
      </c>
    </row>
    <row r="39" customFormat="false" ht="15" hidden="false" customHeight="true" outlineLevel="0" collapsed="false">
      <c r="B39" s="13" t="s">
        <v>65</v>
      </c>
      <c r="C39" s="16" t="n">
        <v>0</v>
      </c>
    </row>
    <row r="41" customFormat="false" ht="15" hidden="false" customHeight="true" outlineLevel="0" collapsed="false">
      <c r="B41" s="12" t="s">
        <v>66</v>
      </c>
      <c r="C41" s="12"/>
      <c r="D41" s="12"/>
      <c r="E41" s="12"/>
      <c r="F41" s="12"/>
    </row>
    <row r="42" customFormat="false" ht="15" hidden="false" customHeight="true" outlineLevel="0" collapsed="false">
      <c r="B42" s="18" t="s">
        <v>67</v>
      </c>
      <c r="C42" s="21" t="s">
        <v>68</v>
      </c>
      <c r="D42" s="21" t="s">
        <v>69</v>
      </c>
      <c r="E42" s="21" t="s">
        <v>70</v>
      </c>
      <c r="F42" s="21" t="s">
        <v>71</v>
      </c>
      <c r="G42" s="21" t="s">
        <v>72</v>
      </c>
    </row>
    <row r="43" customFormat="false" ht="15" hidden="false" customHeight="true" outlineLevel="0" collapsed="false">
      <c r="B43" s="13" t="s">
        <v>73</v>
      </c>
      <c r="C43" s="16" t="n">
        <v>5</v>
      </c>
      <c r="D43" s="16" t="n">
        <v>8</v>
      </c>
      <c r="E43" s="16" t="n">
        <v>10</v>
      </c>
      <c r="F43" s="16" t="n">
        <v>12</v>
      </c>
      <c r="G43" s="16" t="n">
        <v>20</v>
      </c>
    </row>
    <row r="45" customFormat="false" ht="15" hidden="false" customHeight="true" outlineLevel="0" collapsed="false">
      <c r="B45" s="22" t="s">
        <v>74</v>
      </c>
      <c r="C45" s="23"/>
    </row>
    <row r="46" customFormat="false" ht="15" hidden="false" customHeight="true" outlineLevel="0" collapsed="false">
      <c r="B46" s="24" t="s">
        <v>75</v>
      </c>
      <c r="C46" s="25" t="s">
        <v>76</v>
      </c>
    </row>
    <row r="48" customFormat="false" ht="15" hidden="false" customHeight="true" outlineLevel="0" collapsed="false">
      <c r="B48" s="26" t="s">
        <v>67</v>
      </c>
      <c r="C48" s="26" t="s">
        <v>36</v>
      </c>
      <c r="D48" s="26" t="s">
        <v>35</v>
      </c>
      <c r="E48" s="26" t="s">
        <v>77</v>
      </c>
      <c r="F48" s="26" t="s">
        <v>78</v>
      </c>
    </row>
    <row r="49" customFormat="false" ht="15" hidden="false" customHeight="true" outlineLevel="0" collapsed="false">
      <c r="B49" s="1" t="s">
        <v>79</v>
      </c>
      <c r="C49" s="27" t="n">
        <v>5000</v>
      </c>
      <c r="D49" s="28" t="n">
        <v>0.65</v>
      </c>
      <c r="E49" s="27" t="n">
        <f aca="false">C49*D49</f>
        <v>3250</v>
      </c>
      <c r="F49" s="1" t="s">
        <v>80</v>
      </c>
    </row>
    <row r="50" customFormat="false" ht="15" hidden="false" customHeight="true" outlineLevel="0" collapsed="false">
      <c r="B50" s="1" t="s">
        <v>76</v>
      </c>
      <c r="C50" s="27" t="n">
        <v>4200</v>
      </c>
      <c r="D50" s="28" t="n">
        <v>0.62</v>
      </c>
      <c r="E50" s="27" t="n">
        <f aca="false">C50*D50</f>
        <v>2604</v>
      </c>
      <c r="F50" s="1" t="s">
        <v>81</v>
      </c>
    </row>
    <row r="51" customFormat="false" ht="15" hidden="false" customHeight="true" outlineLevel="0" collapsed="false">
      <c r="B51" s="1" t="s">
        <v>82</v>
      </c>
      <c r="C51" s="27" t="n">
        <v>3000</v>
      </c>
      <c r="D51" s="28" t="n">
        <v>0.55</v>
      </c>
      <c r="E51" s="27" t="n">
        <f aca="false">C51*D51</f>
        <v>1650</v>
      </c>
      <c r="F51" s="1" t="s">
        <v>83</v>
      </c>
    </row>
  </sheetData>
  <mergeCells count="6">
    <mergeCell ref="B5:F5"/>
    <mergeCell ref="B14:F14"/>
    <mergeCell ref="B19:F19"/>
    <mergeCell ref="B26:F26"/>
    <mergeCell ref="B32:F32"/>
    <mergeCell ref="B41:F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V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23" min="3" style="1" width="13"/>
  </cols>
  <sheetData>
    <row r="2" customFormat="false" ht="21.75" hidden="false" customHeight="true" outlineLevel="0" collapsed="false">
      <c r="B2" s="10" t="s">
        <v>84</v>
      </c>
    </row>
    <row r="3" customFormat="false" ht="15" hidden="false" customHeight="true" outlineLevel="0" collapsed="false">
      <c r="B3" s="11" t="s">
        <v>85</v>
      </c>
    </row>
    <row r="5" customFormat="false" ht="15" hidden="false" customHeight="true" outlineLevel="0" collapsed="false">
      <c r="B5" s="29" t="s">
        <v>86</v>
      </c>
      <c r="C5" s="30" t="s">
        <v>87</v>
      </c>
      <c r="D5" s="30" t="s">
        <v>42</v>
      </c>
      <c r="E5" s="30" t="s">
        <v>88</v>
      </c>
      <c r="F5" s="30" t="s">
        <v>89</v>
      </c>
      <c r="G5" s="30" t="s">
        <v>90</v>
      </c>
      <c r="H5" s="30" t="s">
        <v>91</v>
      </c>
      <c r="I5" s="30" t="s">
        <v>92</v>
      </c>
      <c r="J5" s="30" t="s">
        <v>93</v>
      </c>
      <c r="K5" s="30" t="s">
        <v>94</v>
      </c>
      <c r="L5" s="30" t="s">
        <v>95</v>
      </c>
      <c r="M5" s="30" t="s">
        <v>96</v>
      </c>
      <c r="N5" s="30" t="s">
        <v>97</v>
      </c>
      <c r="O5" s="30" t="s">
        <v>98</v>
      </c>
      <c r="P5" s="30" t="s">
        <v>99</v>
      </c>
      <c r="Q5" s="30" t="s">
        <v>100</v>
      </c>
      <c r="R5" s="30" t="s">
        <v>101</v>
      </c>
      <c r="S5" s="30" t="s">
        <v>102</v>
      </c>
      <c r="T5" s="30" t="s">
        <v>103</v>
      </c>
      <c r="U5" s="30" t="s">
        <v>104</v>
      </c>
      <c r="V5" s="30" t="s">
        <v>105</v>
      </c>
    </row>
    <row r="6" customFormat="false" ht="15" hidden="false" customHeight="true" outlineLevel="0" collapsed="false">
      <c r="B6" s="18" t="s">
        <v>106</v>
      </c>
      <c r="C6" s="21" t="n">
        <v>1</v>
      </c>
      <c r="D6" s="21" t="n">
        <v>2</v>
      </c>
      <c r="E6" s="21" t="n">
        <v>3</v>
      </c>
      <c r="F6" s="21" t="n">
        <v>4</v>
      </c>
      <c r="G6" s="21" t="n">
        <v>5</v>
      </c>
      <c r="H6" s="21" t="n">
        <v>6</v>
      </c>
      <c r="I6" s="21" t="n">
        <v>7</v>
      </c>
      <c r="J6" s="21" t="n">
        <v>8</v>
      </c>
      <c r="K6" s="21" t="n">
        <v>9</v>
      </c>
      <c r="L6" s="21" t="n">
        <v>10</v>
      </c>
      <c r="M6" s="21" t="n">
        <v>11</v>
      </c>
      <c r="N6" s="21" t="n">
        <v>12</v>
      </c>
      <c r="O6" s="21" t="n">
        <v>13</v>
      </c>
      <c r="P6" s="21" t="n">
        <v>14</v>
      </c>
      <c r="Q6" s="21" t="n">
        <v>15</v>
      </c>
      <c r="R6" s="21" t="n">
        <v>16</v>
      </c>
      <c r="S6" s="21" t="n">
        <v>17</v>
      </c>
      <c r="T6" s="21" t="n">
        <v>18</v>
      </c>
      <c r="U6" s="21" t="n">
        <v>19</v>
      </c>
      <c r="V6" s="21" t="n">
        <v>20</v>
      </c>
    </row>
    <row r="8" customFormat="false" ht="15" hidden="false" customHeight="true" outlineLevel="0" collapsed="false">
      <c r="B8" s="12" t="s">
        <v>107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</row>
    <row r="9" customFormat="false" ht="15" hidden="false" customHeight="true" outlineLevel="0" collapsed="false">
      <c r="B9" s="13" t="s">
        <v>108</v>
      </c>
      <c r="C9" s="31" t="n">
        <f aca="false">Inputs!$C$9*INDEX(Inputs!$C$16:$F$16,1,1)</f>
        <v>0.31</v>
      </c>
      <c r="D9" s="31" t="n">
        <f aca="false">Inputs!$C$9*INDEX(Inputs!$C$16:$F$16,1,2)</f>
        <v>0.434</v>
      </c>
      <c r="E9" s="31" t="n">
        <f aca="false">Inputs!$C$9*INDEX(Inputs!$C$16:$F$16,1,3)</f>
        <v>0.5456</v>
      </c>
      <c r="F9" s="31" t="n">
        <f aca="false">Inputs!$C$9*Inputs!$F$16</f>
        <v>0.62</v>
      </c>
      <c r="G9" s="31" t="n">
        <f aca="false">F9*(1+Inputs!$C$28)</f>
        <v>0.62</v>
      </c>
      <c r="H9" s="31" t="n">
        <f aca="false">G9*(1+Inputs!$C$28)</f>
        <v>0.62</v>
      </c>
      <c r="I9" s="31" t="n">
        <f aca="false">H9*(1+Inputs!$C$28)</f>
        <v>0.62</v>
      </c>
      <c r="J9" s="31" t="n">
        <f aca="false">I9*(1+Inputs!$C$28)</f>
        <v>0.62</v>
      </c>
      <c r="K9" s="31" t="n">
        <f aca="false">J9*(1+Inputs!$C$28)</f>
        <v>0.62</v>
      </c>
      <c r="L9" s="31" t="n">
        <f aca="false">K9*(1+Inputs!$C$28)</f>
        <v>0.62</v>
      </c>
      <c r="M9" s="31" t="n">
        <f aca="false">L9*(1+Inputs!$C$28)</f>
        <v>0.62</v>
      </c>
      <c r="N9" s="31" t="n">
        <f aca="false">M9*(1+Inputs!$C$28)</f>
        <v>0.62</v>
      </c>
      <c r="O9" s="31" t="n">
        <f aca="false">N9*(1+Inputs!$C$28)</f>
        <v>0.62</v>
      </c>
      <c r="P9" s="31" t="n">
        <f aca="false">O9*(1+Inputs!$C$28)</f>
        <v>0.62</v>
      </c>
      <c r="Q9" s="31" t="n">
        <f aca="false">P9*(1+Inputs!$C$28)</f>
        <v>0.62</v>
      </c>
      <c r="R9" s="31" t="n">
        <f aca="false">Q9*(1+Inputs!$C$28)</f>
        <v>0.62</v>
      </c>
      <c r="S9" s="31" t="n">
        <f aca="false">R9*(1+Inputs!$C$28)</f>
        <v>0.62</v>
      </c>
      <c r="T9" s="31" t="n">
        <f aca="false">S9*(1+Inputs!$C$28)</f>
        <v>0.62</v>
      </c>
      <c r="U9" s="31" t="n">
        <f aca="false">T9*(1+Inputs!$C$28)</f>
        <v>0.62</v>
      </c>
      <c r="V9" s="31" t="n">
        <f aca="false">U9*(1+Inputs!$C$28)</f>
        <v>0.62</v>
      </c>
    </row>
    <row r="10" customFormat="false" ht="15" hidden="false" customHeight="true" outlineLevel="0" collapsed="false">
      <c r="B10" s="13" t="s">
        <v>109</v>
      </c>
      <c r="C10" s="32" t="n">
        <f aca="false">Inputs!$C$10*INDEX(Inputs!$C$17:$F$17,1,1)</f>
        <v>3150</v>
      </c>
      <c r="D10" s="32" t="n">
        <f aca="false">Inputs!$C$10*INDEX(Inputs!$C$17:$F$17,1,2)</f>
        <v>3570</v>
      </c>
      <c r="E10" s="32" t="n">
        <f aca="false">Inputs!$C$10*INDEX(Inputs!$C$17:$F$17,1,3)</f>
        <v>3990</v>
      </c>
      <c r="F10" s="32" t="n">
        <f aca="false">Inputs!$C$10*Inputs!$F$17</f>
        <v>4200</v>
      </c>
      <c r="G10" s="32" t="n">
        <f aca="false">F10*(1+Inputs!$C$27)</f>
        <v>4347</v>
      </c>
      <c r="H10" s="32" t="n">
        <f aca="false">G10*(1+Inputs!$C$27)</f>
        <v>4499.145</v>
      </c>
      <c r="I10" s="32" t="n">
        <f aca="false">H10*(1+Inputs!$C$27)</f>
        <v>4656.615075</v>
      </c>
      <c r="J10" s="32" t="n">
        <f aca="false">I10*(1+Inputs!$C$27)</f>
        <v>4819.596602625</v>
      </c>
      <c r="K10" s="32" t="n">
        <f aca="false">J10*(1+Inputs!$C$27)</f>
        <v>4988.28248371687</v>
      </c>
      <c r="L10" s="32" t="n">
        <f aca="false">K10*(1+Inputs!$C$27)</f>
        <v>5162.87237064696</v>
      </c>
      <c r="M10" s="32" t="n">
        <f aca="false">L10*(1+Inputs!$C$27)</f>
        <v>5343.57290361961</v>
      </c>
      <c r="N10" s="32" t="n">
        <f aca="false">M10*(1+Inputs!$C$27)</f>
        <v>5530.59795524629</v>
      </c>
      <c r="O10" s="32" t="n">
        <f aca="false">N10*(1+Inputs!$C$27)</f>
        <v>5724.16888367991</v>
      </c>
      <c r="P10" s="32" t="n">
        <f aca="false">O10*(1+Inputs!$C$27)</f>
        <v>5924.51479460871</v>
      </c>
      <c r="Q10" s="32" t="n">
        <f aca="false">P10*(1+Inputs!$C$27)</f>
        <v>6131.87281242001</v>
      </c>
      <c r="R10" s="32" t="n">
        <f aca="false">Q10*(1+Inputs!$C$27)</f>
        <v>6346.48836085471</v>
      </c>
      <c r="S10" s="32" t="n">
        <f aca="false">R10*(1+Inputs!$C$27)</f>
        <v>6568.61545348463</v>
      </c>
      <c r="T10" s="32" t="n">
        <f aca="false">S10*(1+Inputs!$C$27)</f>
        <v>6798.51699435659</v>
      </c>
      <c r="U10" s="32" t="n">
        <f aca="false">T10*(1+Inputs!$C$27)</f>
        <v>7036.46508915907</v>
      </c>
      <c r="V10" s="32" t="n">
        <f aca="false">U10*(1+Inputs!$C$27)</f>
        <v>7282.74136727964</v>
      </c>
    </row>
    <row r="11" customFormat="false" ht="15" hidden="false" customHeight="true" outlineLevel="0" collapsed="false">
      <c r="B11" s="13" t="s">
        <v>110</v>
      </c>
      <c r="C11" s="32" t="n">
        <f aca="false">C9*C10</f>
        <v>976.5</v>
      </c>
      <c r="D11" s="32" t="n">
        <f aca="false">D9*D10</f>
        <v>1549.38</v>
      </c>
      <c r="E11" s="32" t="n">
        <f aca="false">E9*E10</f>
        <v>2176.944</v>
      </c>
      <c r="F11" s="32" t="n">
        <f aca="false">F9*F10</f>
        <v>2604</v>
      </c>
      <c r="G11" s="32" t="n">
        <f aca="false">G9*G10</f>
        <v>2695.14</v>
      </c>
      <c r="H11" s="32" t="n">
        <f aca="false">H9*H10</f>
        <v>2789.4699</v>
      </c>
      <c r="I11" s="32" t="n">
        <f aca="false">I9*I10</f>
        <v>2887.1013465</v>
      </c>
      <c r="J11" s="32" t="n">
        <f aca="false">J9*J10</f>
        <v>2988.1498936275</v>
      </c>
      <c r="K11" s="32" t="n">
        <f aca="false">K9*K10</f>
        <v>3092.73513990446</v>
      </c>
      <c r="L11" s="32" t="n">
        <f aca="false">L9*L10</f>
        <v>3200.98086980112</v>
      </c>
      <c r="M11" s="32" t="n">
        <f aca="false">M9*M10</f>
        <v>3313.01520024416</v>
      </c>
      <c r="N11" s="32" t="n">
        <f aca="false">N9*N10</f>
        <v>3428.9707322527</v>
      </c>
      <c r="O11" s="32" t="n">
        <f aca="false">O9*O10</f>
        <v>3548.98470788155</v>
      </c>
      <c r="P11" s="32" t="n">
        <f aca="false">P9*P10</f>
        <v>3673.1991726574</v>
      </c>
      <c r="Q11" s="32" t="n">
        <f aca="false">Q9*Q10</f>
        <v>3801.76114370041</v>
      </c>
      <c r="R11" s="32" t="n">
        <f aca="false">R9*R10</f>
        <v>3934.82278372992</v>
      </c>
      <c r="S11" s="32" t="n">
        <f aca="false">S9*S10</f>
        <v>4072.54158116047</v>
      </c>
      <c r="T11" s="32" t="n">
        <f aca="false">T9*T10</f>
        <v>4215.08053650109</v>
      </c>
      <c r="U11" s="32" t="n">
        <f aca="false">U9*U10</f>
        <v>4362.60835527862</v>
      </c>
      <c r="V11" s="32" t="n">
        <f aca="false">V9*V10</f>
        <v>4515.29964771338</v>
      </c>
    </row>
    <row r="13" customFormat="false" ht="15" hidden="false" customHeight="true" outlineLevel="0" collapsed="false">
      <c r="B13" s="12" t="s">
        <v>111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</row>
    <row r="14" customFormat="false" ht="15" hidden="false" customHeight="true" outlineLevel="0" collapsed="false">
      <c r="B14" s="13" t="s">
        <v>112</v>
      </c>
      <c r="C14" s="33" t="n">
        <f aca="false">C11*Inputs!$C$6*365</f>
        <v>12474787.5</v>
      </c>
      <c r="D14" s="33" t="n">
        <f aca="false">D11*Inputs!$C$6*365</f>
        <v>19793329.5</v>
      </c>
      <c r="E14" s="33" t="n">
        <f aca="false">E11*Inputs!$C$6*365</f>
        <v>27810459.6</v>
      </c>
      <c r="F14" s="33" t="n">
        <f aca="false">F11*Inputs!$C$6*365</f>
        <v>33266100</v>
      </c>
      <c r="G14" s="33" t="n">
        <f aca="false">G11*Inputs!$C$6*365</f>
        <v>34430413.5</v>
      </c>
      <c r="H14" s="33" t="n">
        <f aca="false">H11*Inputs!$C$6*365</f>
        <v>35635477.9725</v>
      </c>
      <c r="I14" s="33" t="n">
        <f aca="false">I11*Inputs!$C$6*365</f>
        <v>36882719.7015375</v>
      </c>
      <c r="J14" s="33" t="n">
        <f aca="false">J11*Inputs!$C$6*365</f>
        <v>38173614.8910913</v>
      </c>
      <c r="K14" s="33" t="n">
        <f aca="false">K11*Inputs!$C$6*365</f>
        <v>39509691.4122795</v>
      </c>
      <c r="L14" s="33" t="n">
        <f aca="false">L11*Inputs!$C$6*365</f>
        <v>40892530.6117093</v>
      </c>
      <c r="M14" s="33" t="n">
        <f aca="false">M11*Inputs!$C$6*365</f>
        <v>42323769.1831191</v>
      </c>
      <c r="N14" s="33" t="n">
        <f aca="false">N11*Inputs!$C$6*365</f>
        <v>43805101.1045283</v>
      </c>
      <c r="O14" s="33" t="n">
        <f aca="false">O11*Inputs!$C$6*365</f>
        <v>45338279.6431868</v>
      </c>
      <c r="P14" s="33" t="n">
        <f aca="false">P11*Inputs!$C$6*365</f>
        <v>46925119.4306983</v>
      </c>
      <c r="Q14" s="33" t="n">
        <f aca="false">Q11*Inputs!$C$6*365</f>
        <v>48567498.6107727</v>
      </c>
      <c r="R14" s="33" t="n">
        <f aca="false">R11*Inputs!$C$6*365</f>
        <v>50267361.0621498</v>
      </c>
      <c r="S14" s="33" t="n">
        <f aca="false">S11*Inputs!$C$6*365</f>
        <v>52026718.699325</v>
      </c>
      <c r="T14" s="33" t="n">
        <f aca="false">T11*Inputs!$C$6*365</f>
        <v>53847653.8538014</v>
      </c>
      <c r="U14" s="33" t="n">
        <f aca="false">U11*Inputs!$C$6*365</f>
        <v>55732321.7386844</v>
      </c>
      <c r="V14" s="33" t="n">
        <f aca="false">V11*Inputs!$C$6*365</f>
        <v>57682952.9995384</v>
      </c>
    </row>
    <row r="15" customFormat="false" ht="15" hidden="false" customHeight="true" outlineLevel="0" collapsed="false">
      <c r="B15" s="13" t="s">
        <v>113</v>
      </c>
      <c r="C15" s="33" t="n">
        <f aca="false">C14*Inputs!$C$11</f>
        <v>4989915</v>
      </c>
      <c r="D15" s="33" t="n">
        <f aca="false">IF(2=1,D14*Inputs!$C$11,C15*(1+Inputs!$C$29))</f>
        <v>5139612.45</v>
      </c>
      <c r="E15" s="33" t="n">
        <f aca="false">IF(3=1,E14*Inputs!$C$11,D15*(1+Inputs!$C$29))</f>
        <v>5293800.8235</v>
      </c>
      <c r="F15" s="33" t="n">
        <f aca="false">IF(4=1,F14*Inputs!$C$11,E15*(1+Inputs!$C$29))</f>
        <v>5452614.848205</v>
      </c>
      <c r="G15" s="33" t="n">
        <f aca="false">IF(5=1,G14*Inputs!$C$11,F15*(1+Inputs!$C$29))</f>
        <v>5616193.29365115</v>
      </c>
      <c r="H15" s="33" t="n">
        <f aca="false">IF(6=1,H14*Inputs!$C$11,G15*(1+Inputs!$C$29))</f>
        <v>5784679.09246069</v>
      </c>
      <c r="I15" s="33" t="n">
        <f aca="false">IF(7=1,I14*Inputs!$C$11,H15*(1+Inputs!$C$29))</f>
        <v>5958219.46523451</v>
      </c>
      <c r="J15" s="33" t="n">
        <f aca="false">IF(8=1,J14*Inputs!$C$11,I15*(1+Inputs!$C$29))</f>
        <v>6136966.04919154</v>
      </c>
      <c r="K15" s="33" t="n">
        <f aca="false">IF(9=1,K14*Inputs!$C$11,J15*(1+Inputs!$C$29))</f>
        <v>6321075.03066729</v>
      </c>
      <c r="L15" s="33" t="n">
        <f aca="false">IF(10=1,L14*Inputs!$C$11,K15*(1+Inputs!$C$29))</f>
        <v>6510707.28158731</v>
      </c>
      <c r="M15" s="33" t="n">
        <f aca="false">IF(11=1,M14*Inputs!$C$11,L15*(1+Inputs!$C$29))</f>
        <v>6706028.50003493</v>
      </c>
      <c r="N15" s="33" t="n">
        <f aca="false">IF(12=1,N14*Inputs!$C$11,M15*(1+Inputs!$C$29))</f>
        <v>6907209.35503597</v>
      </c>
      <c r="O15" s="33" t="n">
        <f aca="false">IF(13=1,O14*Inputs!$C$11,N15*(1+Inputs!$C$29))</f>
        <v>7114425.63568705</v>
      </c>
      <c r="P15" s="33" t="n">
        <f aca="false">IF(14=1,P14*Inputs!$C$11,O15*(1+Inputs!$C$29))</f>
        <v>7327858.40475767</v>
      </c>
      <c r="Q15" s="33" t="n">
        <f aca="false">IF(15=1,Q14*Inputs!$C$11,P15*(1+Inputs!$C$29))</f>
        <v>7547694.1569004</v>
      </c>
      <c r="R15" s="33" t="n">
        <f aca="false">IF(16=1,R14*Inputs!$C$11,Q15*(1+Inputs!$C$29))</f>
        <v>7774124.98160741</v>
      </c>
      <c r="S15" s="33" t="n">
        <f aca="false">IF(17=1,S14*Inputs!$C$11,R15*(1+Inputs!$C$29))</f>
        <v>8007348.73105563</v>
      </c>
      <c r="T15" s="33" t="n">
        <f aca="false">IF(18=1,T14*Inputs!$C$11,S15*(1+Inputs!$C$29))</f>
        <v>8247569.1929873</v>
      </c>
      <c r="U15" s="33" t="n">
        <f aca="false">IF(19=1,U14*Inputs!$C$11,T15*(1+Inputs!$C$29))</f>
        <v>8494996.26877692</v>
      </c>
      <c r="V15" s="33" t="n">
        <f aca="false">IF(20=1,V14*Inputs!$C$11,U15*(1+Inputs!$C$29))</f>
        <v>8749846.15684022</v>
      </c>
    </row>
    <row r="16" customFormat="false" ht="15" hidden="false" customHeight="true" outlineLevel="0" collapsed="false">
      <c r="B16" s="13" t="s">
        <v>114</v>
      </c>
      <c r="C16" s="33" t="n">
        <f aca="false">IF(1=1,C14*Inputs!$C$12,B16*(1+Inputs!$C$29))</f>
        <v>1496974.5</v>
      </c>
      <c r="D16" s="33" t="n">
        <f aca="false">IF(2=1,D14*Inputs!$C$12,C16*(1+Inputs!$C$29))</f>
        <v>1541883.735</v>
      </c>
      <c r="E16" s="33" t="n">
        <f aca="false">IF(3=1,E14*Inputs!$C$12,D16*(1+Inputs!$C$29))</f>
        <v>1588140.24705</v>
      </c>
      <c r="F16" s="33" t="n">
        <f aca="false">IF(4=1,F14*Inputs!$C$12,E16*(1+Inputs!$C$29))</f>
        <v>1635784.4544615</v>
      </c>
      <c r="G16" s="33" t="n">
        <f aca="false">IF(5=1,G14*Inputs!$C$12,F16*(1+Inputs!$C$29))</f>
        <v>1684857.98809535</v>
      </c>
      <c r="H16" s="33" t="n">
        <f aca="false">IF(6=1,H14*Inputs!$C$12,G16*(1+Inputs!$C$29))</f>
        <v>1735403.72773821</v>
      </c>
      <c r="I16" s="33" t="n">
        <f aca="false">IF(7=1,I14*Inputs!$C$12,H16*(1+Inputs!$C$29))</f>
        <v>1787465.83957035</v>
      </c>
      <c r="J16" s="33" t="n">
        <f aca="false">IF(8=1,J14*Inputs!$C$12,I16*(1+Inputs!$C$29))</f>
        <v>1841089.81475746</v>
      </c>
      <c r="K16" s="33" t="n">
        <f aca="false">IF(9=1,K14*Inputs!$C$12,J16*(1+Inputs!$C$29))</f>
        <v>1896322.50920019</v>
      </c>
      <c r="L16" s="33" t="n">
        <f aca="false">IF(10=1,L14*Inputs!$C$12,K16*(1+Inputs!$C$29))</f>
        <v>1953212.18447619</v>
      </c>
      <c r="M16" s="33" t="n">
        <f aca="false">IF(11=1,M14*Inputs!$C$12,L16*(1+Inputs!$C$29))</f>
        <v>2011808.55001048</v>
      </c>
      <c r="N16" s="33" t="n">
        <f aca="false">IF(12=1,N14*Inputs!$C$12,M16*(1+Inputs!$C$29))</f>
        <v>2072162.80651079</v>
      </c>
      <c r="O16" s="33" t="n">
        <f aca="false">IF(13=1,O14*Inputs!$C$12,N16*(1+Inputs!$C$29))</f>
        <v>2134327.69070612</v>
      </c>
      <c r="P16" s="33" t="n">
        <f aca="false">IF(14=1,P14*Inputs!$C$12,O16*(1+Inputs!$C$29))</f>
        <v>2198357.5214273</v>
      </c>
      <c r="Q16" s="33" t="n">
        <f aca="false">IF(15=1,Q14*Inputs!$C$12,P16*(1+Inputs!$C$29))</f>
        <v>2264308.24707012</v>
      </c>
      <c r="R16" s="33" t="n">
        <f aca="false">IF(16=1,R14*Inputs!$C$12,Q16*(1+Inputs!$C$29))</f>
        <v>2332237.49448222</v>
      </c>
      <c r="S16" s="33" t="n">
        <f aca="false">IF(17=1,S14*Inputs!$C$12,R16*(1+Inputs!$C$29))</f>
        <v>2402204.61931669</v>
      </c>
      <c r="T16" s="33" t="n">
        <f aca="false">IF(18=1,T14*Inputs!$C$12,S16*(1+Inputs!$C$29))</f>
        <v>2474270.75789619</v>
      </c>
      <c r="U16" s="33" t="n">
        <f aca="false">IF(19=1,U14*Inputs!$C$12,T16*(1+Inputs!$C$29))</f>
        <v>2548498.88063308</v>
      </c>
      <c r="V16" s="33" t="n">
        <f aca="false">IF(20=1,V14*Inputs!$C$12,U16*(1+Inputs!$C$29))</f>
        <v>2624953.84705207</v>
      </c>
    </row>
    <row r="17" customFormat="false" ht="15" hidden="false" customHeight="true" outlineLevel="0" collapsed="false">
      <c r="B17" s="34" t="s">
        <v>115</v>
      </c>
      <c r="C17" s="35" t="n">
        <f aca="false">SUM(C14:C16)</f>
        <v>18961677</v>
      </c>
      <c r="D17" s="35" t="n">
        <f aca="false">SUM(D14:D16)</f>
        <v>26474825.685</v>
      </c>
      <c r="E17" s="35" t="n">
        <f aca="false">SUM(E14:E16)</f>
        <v>34692400.67055</v>
      </c>
      <c r="F17" s="35" t="n">
        <f aca="false">SUM(F14:F16)</f>
        <v>40354499.3026665</v>
      </c>
      <c r="G17" s="35" t="n">
        <f aca="false">SUM(G14:G16)</f>
        <v>41731464.7817465</v>
      </c>
      <c r="H17" s="35" t="n">
        <f aca="false">SUM(H14:H16)</f>
        <v>43155560.7926989</v>
      </c>
      <c r="I17" s="35" t="n">
        <f aca="false">SUM(I14:I16)</f>
        <v>44628405.0063423</v>
      </c>
      <c r="J17" s="35" t="n">
        <f aca="false">SUM(J14:J16)</f>
        <v>46151670.7550403</v>
      </c>
      <c r="K17" s="35" t="n">
        <f aca="false">SUM(K14:K16)</f>
        <v>47727088.952147</v>
      </c>
      <c r="L17" s="35" t="n">
        <f aca="false">SUM(L14:L16)</f>
        <v>49356450.0777728</v>
      </c>
      <c r="M17" s="35" t="n">
        <f aca="false">SUM(M14:M16)</f>
        <v>51041606.2331645</v>
      </c>
      <c r="N17" s="35" t="n">
        <f aca="false">SUM(N14:N16)</f>
        <v>52784473.266075</v>
      </c>
      <c r="O17" s="35" t="n">
        <f aca="false">SUM(O14:O16)</f>
        <v>54587032.9695799</v>
      </c>
      <c r="P17" s="35" t="n">
        <f aca="false">SUM(P14:P16)</f>
        <v>56451335.3568833</v>
      </c>
      <c r="Q17" s="35" t="n">
        <f aca="false">SUM(Q14:Q16)</f>
        <v>58379501.0147432</v>
      </c>
      <c r="R17" s="35" t="n">
        <f aca="false">SUM(R14:R16)</f>
        <v>60373723.5382394</v>
      </c>
      <c r="S17" s="35" t="n">
        <f aca="false">SUM(S14:S16)</f>
        <v>62436272.0496973</v>
      </c>
      <c r="T17" s="35" t="n">
        <f aca="false">SUM(T14:T16)</f>
        <v>64569493.8046849</v>
      </c>
      <c r="U17" s="35" t="n">
        <f aca="false">SUM(U14:U16)</f>
        <v>66775816.8880944</v>
      </c>
      <c r="V17" s="35" t="n">
        <f aca="false">SUM(V14:V16)</f>
        <v>69057753.0034307</v>
      </c>
    </row>
    <row r="19" customFormat="false" ht="15" hidden="false" customHeight="true" outlineLevel="0" collapsed="false">
      <c r="B19" s="12" t="s">
        <v>116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</row>
    <row r="20" customFormat="false" ht="15" hidden="false" customHeight="true" outlineLevel="0" collapsed="false">
      <c r="B20" s="13" t="s">
        <v>117</v>
      </c>
      <c r="C20" s="33" t="n">
        <f aca="false">C17*Inputs!$C$20*((1+Inputs!$C$30)/(1+Inputs!$C$27))^MAX(0,1-4)</f>
        <v>6826203.72</v>
      </c>
      <c r="D20" s="33" t="n">
        <f aca="false">D17*Inputs!$C$20*((1+Inputs!$C$30)/(1+Inputs!$C$27))^MAX(0,2-4)</f>
        <v>9530937.2466</v>
      </c>
      <c r="E20" s="33" t="n">
        <f aca="false">E17*Inputs!$C$20*((1+Inputs!$C$30)/(1+Inputs!$C$27))^MAX(0,3-4)</f>
        <v>12489264.241398</v>
      </c>
      <c r="F20" s="33" t="n">
        <f aca="false">F17*Inputs!$C$20*((1+Inputs!$C$30)/(1+Inputs!$C$27))^MAX(0,4-4)</f>
        <v>14527619.7489599</v>
      </c>
      <c r="G20" s="33" t="n">
        <f aca="false">G17*Inputs!$C$20*((1+Inputs!$C$30)/(1+Inputs!$C$27))^MAX(0,5-4)</f>
        <v>14950750.8609387</v>
      </c>
      <c r="H20" s="33" t="n">
        <f aca="false">H17*Inputs!$C$20*((1+Inputs!$C$30)/(1+Inputs!$C$27))^MAX(0,6-4)</f>
        <v>15386258.1625622</v>
      </c>
      <c r="I20" s="33" t="n">
        <f aca="false">I17*Inputs!$C$20*((1+Inputs!$C$30)/(1+Inputs!$C$27))^MAX(0,7-4)</f>
        <v>15834504.9882519</v>
      </c>
      <c r="J20" s="33" t="n">
        <f aca="false">J17*Inputs!$C$20*((1+Inputs!$C$30)/(1+Inputs!$C$27))^MAX(0,8-4)</f>
        <v>16295865.3734882</v>
      </c>
      <c r="K20" s="33" t="n">
        <f aca="false">K17*Inputs!$C$20*((1+Inputs!$C$30)/(1+Inputs!$C$27))^MAX(0,9-4)</f>
        <v>16770724.3708629</v>
      </c>
      <c r="L20" s="33" t="n">
        <f aca="false">L17*Inputs!$C$20*((1+Inputs!$C$30)/(1+Inputs!$C$27))^MAX(0,10-4)</f>
        <v>17259478.3754892</v>
      </c>
      <c r="M20" s="33" t="n">
        <f aca="false">M17*Inputs!$C$20*((1+Inputs!$C$30)/(1+Inputs!$C$27))^MAX(0,11-4)</f>
        <v>17762535.4600452</v>
      </c>
      <c r="N20" s="33" t="n">
        <f aca="false">N17*Inputs!$C$20*((1+Inputs!$C$30)/(1+Inputs!$C$27))^MAX(0,12-4)</f>
        <v>18280315.7197391</v>
      </c>
      <c r="O20" s="33" t="n">
        <f aca="false">O17*Inputs!$C$20*((1+Inputs!$C$30)/(1+Inputs!$C$27))^MAX(0,13-4)</f>
        <v>18813251.6274882</v>
      </c>
      <c r="P20" s="33" t="n">
        <f aca="false">P17*Inputs!$C$20*((1+Inputs!$C$30)/(1+Inputs!$C$27))^MAX(0,14-4)</f>
        <v>19361788.3996161</v>
      </c>
      <c r="Q20" s="33" t="n">
        <f aca="false">Q17*Inputs!$C$20*((1+Inputs!$C$30)/(1+Inputs!$C$27))^MAX(0,15-4)</f>
        <v>19926384.3723798</v>
      </c>
      <c r="R20" s="33" t="n">
        <f aca="false">R17*Inputs!$C$20*((1+Inputs!$C$30)/(1+Inputs!$C$27))^MAX(0,16-4)</f>
        <v>20507511.3896483</v>
      </c>
      <c r="S20" s="33" t="n">
        <f aca="false">S17*Inputs!$C$20*((1+Inputs!$C$30)/(1+Inputs!$C$27))^MAX(0,17-4)</f>
        <v>21105655.2020628</v>
      </c>
      <c r="T20" s="33" t="n">
        <f aca="false">T17*Inputs!$C$20*((1+Inputs!$C$30)/(1+Inputs!$C$27))^MAX(0,18-4)</f>
        <v>21721315.8780205</v>
      </c>
      <c r="U20" s="33" t="n">
        <f aca="false">U17*Inputs!$C$20*((1+Inputs!$C$30)/(1+Inputs!$C$27))^MAX(0,19-4)</f>
        <v>22355008.2268321</v>
      </c>
      <c r="V20" s="33" t="n">
        <f aca="false">V17*Inputs!$C$20*((1+Inputs!$C$30)/(1+Inputs!$C$27))^MAX(0,20-4)</f>
        <v>23007262.2344143</v>
      </c>
    </row>
    <row r="21" customFormat="false" ht="15" hidden="false" customHeight="true" outlineLevel="0" collapsed="false">
      <c r="B21" s="13" t="s">
        <v>118</v>
      </c>
      <c r="C21" s="33" t="n">
        <f aca="false">C17*Inputs!$C$21*((1+Inputs!$C$30)/(1+Inputs!$C$27))^MAX(0,1-4)</f>
        <v>3792335.4</v>
      </c>
      <c r="D21" s="33" t="n">
        <f aca="false">D17*Inputs!$C$21*((1+Inputs!$C$30)/(1+Inputs!$C$27))^MAX(0,2-4)</f>
        <v>5294965.137</v>
      </c>
      <c r="E21" s="33" t="n">
        <f aca="false">E17*Inputs!$C$21*((1+Inputs!$C$30)/(1+Inputs!$C$27))^MAX(0,3-4)</f>
        <v>6938480.13411</v>
      </c>
      <c r="F21" s="33" t="n">
        <f aca="false">F17*Inputs!$C$21*((1+Inputs!$C$30)/(1+Inputs!$C$27))^MAX(0,4-4)</f>
        <v>8070899.8605333</v>
      </c>
      <c r="G21" s="33" t="n">
        <f aca="false">G17*Inputs!$C$21*((1+Inputs!$C$30)/(1+Inputs!$C$27))^MAX(0,5-4)</f>
        <v>8305972.70052153</v>
      </c>
      <c r="H21" s="33" t="n">
        <f aca="false">H17*Inputs!$C$21*((1+Inputs!$C$30)/(1+Inputs!$C$27))^MAX(0,6-4)</f>
        <v>8547921.20142347</v>
      </c>
      <c r="I21" s="33" t="n">
        <f aca="false">I17*Inputs!$C$21*((1+Inputs!$C$30)/(1+Inputs!$C$27))^MAX(0,7-4)</f>
        <v>8796947.21569551</v>
      </c>
      <c r="J21" s="33" t="n">
        <f aca="false">J17*Inputs!$C$21*((1+Inputs!$C$30)/(1+Inputs!$C$27))^MAX(0,8-4)</f>
        <v>9053258.54082677</v>
      </c>
      <c r="K21" s="33" t="n">
        <f aca="false">K17*Inputs!$C$21*((1+Inputs!$C$30)/(1+Inputs!$C$27))^MAX(0,9-4)</f>
        <v>9317069.09492386</v>
      </c>
      <c r="L21" s="33" t="n">
        <f aca="false">L17*Inputs!$C$21*((1+Inputs!$C$30)/(1+Inputs!$C$27))^MAX(0,10-4)</f>
        <v>9588599.097494</v>
      </c>
      <c r="M21" s="33" t="n">
        <f aca="false">M17*Inputs!$C$21*((1+Inputs!$C$30)/(1+Inputs!$C$27))^MAX(0,11-4)</f>
        <v>9868075.25558067</v>
      </c>
      <c r="N21" s="33" t="n">
        <f aca="false">N17*Inputs!$C$21*((1+Inputs!$C$30)/(1+Inputs!$C$27))^MAX(0,12-4)</f>
        <v>10155730.9554106</v>
      </c>
      <c r="O21" s="33" t="n">
        <f aca="false">O17*Inputs!$C$21*((1+Inputs!$C$30)/(1+Inputs!$C$27))^MAX(0,13-4)</f>
        <v>10451806.4597157</v>
      </c>
      <c r="P21" s="33" t="n">
        <f aca="false">P17*Inputs!$C$21*((1+Inputs!$C$30)/(1+Inputs!$C$27))^MAX(0,14-4)</f>
        <v>10756549.1108978</v>
      </c>
      <c r="Q21" s="33" t="n">
        <f aca="false">Q17*Inputs!$C$21*((1+Inputs!$C$30)/(1+Inputs!$C$27))^MAX(0,15-4)</f>
        <v>11070213.540211</v>
      </c>
      <c r="R21" s="33" t="n">
        <f aca="false">R17*Inputs!$C$21*((1+Inputs!$C$30)/(1+Inputs!$C$27))^MAX(0,16-4)</f>
        <v>11393061.8831379</v>
      </c>
      <c r="S21" s="33" t="n">
        <f aca="false">S17*Inputs!$C$21*((1+Inputs!$C$30)/(1+Inputs!$C$27))^MAX(0,17-4)</f>
        <v>11725364.001146</v>
      </c>
      <c r="T21" s="33" t="n">
        <f aca="false">T17*Inputs!$C$21*((1+Inputs!$C$30)/(1+Inputs!$C$27))^MAX(0,18-4)</f>
        <v>12067397.7100114</v>
      </c>
      <c r="U21" s="33" t="n">
        <f aca="false">U17*Inputs!$C$21*((1+Inputs!$C$30)/(1+Inputs!$C$27))^MAX(0,19-4)</f>
        <v>12419449.0149067</v>
      </c>
      <c r="V21" s="33" t="n">
        <f aca="false">V17*Inputs!$C$21*((1+Inputs!$C$30)/(1+Inputs!$C$27))^MAX(0,20-4)</f>
        <v>12781812.3524524</v>
      </c>
    </row>
    <row r="22" customFormat="false" ht="15" hidden="false" customHeight="true" outlineLevel="0" collapsed="false">
      <c r="B22" s="13" t="s">
        <v>119</v>
      </c>
      <c r="C22" s="33" t="n">
        <f aca="false">C17*Inputs!$C$22*((1+Inputs!$C$30)/(1+Inputs!$C$27))^MAX(0,1-4)</f>
        <v>568850.31</v>
      </c>
      <c r="D22" s="33" t="n">
        <f aca="false">D17*Inputs!$C$22*((1+Inputs!$C$30)/(1+Inputs!$C$27))^MAX(0,2-4)</f>
        <v>794244.77055</v>
      </c>
      <c r="E22" s="33" t="n">
        <f aca="false">E17*Inputs!$C$22*((1+Inputs!$C$30)/(1+Inputs!$C$27))^MAX(0,3-4)</f>
        <v>1040772.0201165</v>
      </c>
      <c r="F22" s="33" t="n">
        <f aca="false">F17*Inputs!$C$22*((1+Inputs!$C$30)/(1+Inputs!$C$27))^MAX(0,4-4)</f>
        <v>1210634.97908</v>
      </c>
      <c r="G22" s="33" t="n">
        <f aca="false">G17*Inputs!$C$22*((1+Inputs!$C$30)/(1+Inputs!$C$27))^MAX(0,5-4)</f>
        <v>1245895.90507823</v>
      </c>
      <c r="H22" s="33" t="n">
        <f aca="false">H17*Inputs!$C$22*((1+Inputs!$C$30)/(1+Inputs!$C$27))^MAX(0,6-4)</f>
        <v>1282188.18021352</v>
      </c>
      <c r="I22" s="33" t="n">
        <f aca="false">I17*Inputs!$C$22*((1+Inputs!$C$30)/(1+Inputs!$C$27))^MAX(0,7-4)</f>
        <v>1319542.08235433</v>
      </c>
      <c r="J22" s="33" t="n">
        <f aca="false">J17*Inputs!$C$22*((1+Inputs!$C$30)/(1+Inputs!$C$27))^MAX(0,8-4)</f>
        <v>1357988.78112402</v>
      </c>
      <c r="K22" s="33" t="n">
        <f aca="false">K17*Inputs!$C$22*((1+Inputs!$C$30)/(1+Inputs!$C$27))^MAX(0,9-4)</f>
        <v>1397560.36423858</v>
      </c>
      <c r="L22" s="33" t="n">
        <f aca="false">L17*Inputs!$C$22*((1+Inputs!$C$30)/(1+Inputs!$C$27))^MAX(0,10-4)</f>
        <v>1438289.8646241</v>
      </c>
      <c r="M22" s="33" t="n">
        <f aca="false">M17*Inputs!$C$22*((1+Inputs!$C$30)/(1+Inputs!$C$27))^MAX(0,11-4)</f>
        <v>1480211.2883371</v>
      </c>
      <c r="N22" s="33" t="n">
        <f aca="false">N17*Inputs!$C$22*((1+Inputs!$C$30)/(1+Inputs!$C$27))^MAX(0,12-4)</f>
        <v>1523359.64331159</v>
      </c>
      <c r="O22" s="33" t="n">
        <f aca="false">O17*Inputs!$C$22*((1+Inputs!$C$30)/(1+Inputs!$C$27))^MAX(0,13-4)</f>
        <v>1567770.96895735</v>
      </c>
      <c r="P22" s="33" t="n">
        <f aca="false">P17*Inputs!$C$22*((1+Inputs!$C$30)/(1+Inputs!$C$27))^MAX(0,14-4)</f>
        <v>1613482.36663467</v>
      </c>
      <c r="Q22" s="33" t="n">
        <f aca="false">Q17*Inputs!$C$22*((1+Inputs!$C$30)/(1+Inputs!$C$27))^MAX(0,15-4)</f>
        <v>1660532.03103165</v>
      </c>
      <c r="R22" s="33" t="n">
        <f aca="false">R17*Inputs!$C$22*((1+Inputs!$C$30)/(1+Inputs!$C$27))^MAX(0,16-4)</f>
        <v>1708959.28247069</v>
      </c>
      <c r="S22" s="33" t="n">
        <f aca="false">S17*Inputs!$C$22*((1+Inputs!$C$30)/(1+Inputs!$C$27))^MAX(0,17-4)</f>
        <v>1758804.6001719</v>
      </c>
      <c r="T22" s="33" t="n">
        <f aca="false">T17*Inputs!$C$22*((1+Inputs!$C$30)/(1+Inputs!$C$27))^MAX(0,18-4)</f>
        <v>1810109.65650171</v>
      </c>
      <c r="U22" s="33" t="n">
        <f aca="false">U17*Inputs!$C$22*((1+Inputs!$C$30)/(1+Inputs!$C$27))^MAX(0,19-4)</f>
        <v>1862917.35223601</v>
      </c>
      <c r="V22" s="33" t="n">
        <f aca="false">V17*Inputs!$C$22*((1+Inputs!$C$30)/(1+Inputs!$C$27))^MAX(0,20-4)</f>
        <v>1917271.85286786</v>
      </c>
    </row>
    <row r="23" customFormat="false" ht="15" hidden="false" customHeight="true" outlineLevel="0" collapsed="false">
      <c r="B23" s="13" t="s">
        <v>120</v>
      </c>
      <c r="C23" s="33" t="n">
        <f aca="false">C17*Inputs!$C$23</f>
        <v>663658.695</v>
      </c>
      <c r="D23" s="33" t="n">
        <f aca="false">D17*Inputs!$C$23</f>
        <v>926618.898975</v>
      </c>
      <c r="E23" s="33" t="n">
        <f aca="false">E17*Inputs!$C$23</f>
        <v>1214234.02346925</v>
      </c>
      <c r="F23" s="33" t="n">
        <f aca="false">F17*Inputs!$C$23</f>
        <v>1412407.47559333</v>
      </c>
      <c r="G23" s="33" t="n">
        <f aca="false">G17*Inputs!$C$23</f>
        <v>1460601.26736113</v>
      </c>
      <c r="H23" s="33" t="n">
        <f aca="false">H17*Inputs!$C$23</f>
        <v>1510444.62774446</v>
      </c>
      <c r="I23" s="33" t="n">
        <f aca="false">I17*Inputs!$C$23</f>
        <v>1561994.17522198</v>
      </c>
      <c r="J23" s="33" t="n">
        <f aca="false">J17*Inputs!$C$23</f>
        <v>1615308.47642641</v>
      </c>
      <c r="K23" s="33" t="n">
        <f aca="false">K17*Inputs!$C$23</f>
        <v>1670448.11332514</v>
      </c>
      <c r="L23" s="33" t="n">
        <f aca="false">L17*Inputs!$C$23</f>
        <v>1727475.75272205</v>
      </c>
      <c r="M23" s="33" t="n">
        <f aca="false">M17*Inputs!$C$23</f>
        <v>1786456.21816076</v>
      </c>
      <c r="N23" s="33" t="n">
        <f aca="false">N17*Inputs!$C$23</f>
        <v>1847456.56431263</v>
      </c>
      <c r="O23" s="33" t="n">
        <f aca="false">O17*Inputs!$C$23</f>
        <v>1910546.1539353</v>
      </c>
      <c r="P23" s="33" t="n">
        <f aca="false">P17*Inputs!$C$23</f>
        <v>1975796.73749091</v>
      </c>
      <c r="Q23" s="33" t="n">
        <f aca="false">Q17*Inputs!$C$23</f>
        <v>2043282.53551601</v>
      </c>
      <c r="R23" s="33" t="n">
        <f aca="false">R17*Inputs!$C$23</f>
        <v>2113080.32383838</v>
      </c>
      <c r="S23" s="33" t="n">
        <f aca="false">S17*Inputs!$C$23</f>
        <v>2185269.52173941</v>
      </c>
      <c r="T23" s="33" t="n">
        <f aca="false">T17*Inputs!$C$23</f>
        <v>2259932.28316397</v>
      </c>
      <c r="U23" s="33" t="n">
        <f aca="false">U17*Inputs!$C$23</f>
        <v>2337153.5910833</v>
      </c>
      <c r="V23" s="33" t="n">
        <f aca="false">V17*Inputs!$C$23</f>
        <v>2417021.35512007</v>
      </c>
    </row>
    <row r="24" customFormat="false" ht="15" hidden="false" customHeight="true" outlineLevel="0" collapsed="false">
      <c r="B24" s="34" t="s">
        <v>121</v>
      </c>
      <c r="C24" s="35" t="n">
        <f aca="false">SUM(C20:C23)</f>
        <v>11851048.125</v>
      </c>
      <c r="D24" s="35" t="n">
        <f aca="false">SUM(D20:D23)</f>
        <v>16546766.053125</v>
      </c>
      <c r="E24" s="35" t="n">
        <f aca="false">SUM(E20:E23)</f>
        <v>21682750.4190937</v>
      </c>
      <c r="F24" s="35" t="n">
        <f aca="false">SUM(F20:F23)</f>
        <v>25221562.0641666</v>
      </c>
      <c r="G24" s="35" t="n">
        <f aca="false">SUM(G20:G23)</f>
        <v>25963220.7338996</v>
      </c>
      <c r="H24" s="35" t="n">
        <f aca="false">SUM(H20:H23)</f>
        <v>26726812.1719437</v>
      </c>
      <c r="I24" s="35" t="n">
        <f aca="false">SUM(I20:I23)</f>
        <v>27512988.4615237</v>
      </c>
      <c r="J24" s="35" t="n">
        <f aca="false">SUM(J20:J23)</f>
        <v>28322421.1718654</v>
      </c>
      <c r="K24" s="35" t="n">
        <f aca="false">SUM(K20:K23)</f>
        <v>29155801.9433505</v>
      </c>
      <c r="L24" s="35" t="n">
        <f aca="false">SUM(L20:L23)</f>
        <v>30013843.0903293</v>
      </c>
      <c r="M24" s="35" t="n">
        <f aca="false">SUM(M20:M23)</f>
        <v>30897278.2221237</v>
      </c>
      <c r="N24" s="35" t="n">
        <f aca="false">SUM(N20:N23)</f>
        <v>31806862.8827739</v>
      </c>
      <c r="O24" s="35" t="n">
        <f aca="false">SUM(O20:O23)</f>
        <v>32743375.2100965</v>
      </c>
      <c r="P24" s="35" t="n">
        <f aca="false">SUM(P20:P23)</f>
        <v>33707616.6146395</v>
      </c>
      <c r="Q24" s="35" t="n">
        <f aca="false">SUM(Q20:Q23)</f>
        <v>34700412.4791385</v>
      </c>
      <c r="R24" s="35" t="n">
        <f aca="false">SUM(R20:R23)</f>
        <v>35722612.8790953</v>
      </c>
      <c r="S24" s="35" t="n">
        <f aca="false">SUM(S20:S23)</f>
        <v>36775093.3251201</v>
      </c>
      <c r="T24" s="35" t="n">
        <f aca="false">SUM(T20:T23)</f>
        <v>37858755.5276976</v>
      </c>
      <c r="U24" s="35" t="n">
        <f aca="false">SUM(U20:U23)</f>
        <v>38974528.1850581</v>
      </c>
      <c r="V24" s="35" t="n">
        <f aca="false">SUM(V20:V23)</f>
        <v>40123367.7948547</v>
      </c>
    </row>
    <row r="26" customFormat="false" ht="15" hidden="false" customHeight="true" outlineLevel="0" collapsed="false">
      <c r="B26" s="34" t="s">
        <v>122</v>
      </c>
      <c r="C26" s="35" t="n">
        <f aca="false">C17-C24</f>
        <v>7110628.875</v>
      </c>
      <c r="D26" s="35" t="n">
        <f aca="false">D17-D24</f>
        <v>9928059.631875</v>
      </c>
      <c r="E26" s="35" t="n">
        <f aca="false">E17-E24</f>
        <v>13009650.2514563</v>
      </c>
      <c r="F26" s="35" t="n">
        <f aca="false">F17-F24</f>
        <v>15132937.2384999</v>
      </c>
      <c r="G26" s="35" t="n">
        <f aca="false">G17-G24</f>
        <v>15768244.0478469</v>
      </c>
      <c r="H26" s="35" t="n">
        <f aca="false">H17-H24</f>
        <v>16428748.6207552</v>
      </c>
      <c r="I26" s="35" t="n">
        <f aca="false">I17-I24</f>
        <v>17115416.5448186</v>
      </c>
      <c r="J26" s="35" t="n">
        <f aca="false">J17-J24</f>
        <v>17829249.5831749</v>
      </c>
      <c r="K26" s="35" t="n">
        <f aca="false">K17-K24</f>
        <v>18571287.0087964</v>
      </c>
      <c r="L26" s="35" t="n">
        <f aca="false">L17-L24</f>
        <v>19342606.9874434</v>
      </c>
      <c r="M26" s="35" t="n">
        <f aca="false">M17-M24</f>
        <v>20144328.0110408</v>
      </c>
      <c r="N26" s="35" t="n">
        <f aca="false">N17-N24</f>
        <v>20977610.3833011</v>
      </c>
      <c r="O26" s="35" t="n">
        <f aca="false">O17-O24</f>
        <v>21843657.7594835</v>
      </c>
      <c r="P26" s="35" t="n">
        <f aca="false">P17-P24</f>
        <v>22743718.7422438</v>
      </c>
      <c r="Q26" s="35" t="n">
        <f aca="false">Q17-Q24</f>
        <v>23679088.5356048</v>
      </c>
      <c r="R26" s="35" t="n">
        <f aca="false">R17-R24</f>
        <v>24651110.6591441</v>
      </c>
      <c r="S26" s="35" t="n">
        <f aca="false">S17-S24</f>
        <v>25661178.7245772</v>
      </c>
      <c r="T26" s="35" t="n">
        <f aca="false">T17-T24</f>
        <v>26710738.2769873</v>
      </c>
      <c r="U26" s="35" t="n">
        <f aca="false">U17-U24</f>
        <v>27801288.7030363</v>
      </c>
      <c r="V26" s="35" t="n">
        <f aca="false">V17-V24</f>
        <v>28934385.208576</v>
      </c>
    </row>
    <row r="27" customFormat="false" ht="15" hidden="false" customHeight="true" outlineLevel="0" collapsed="false">
      <c r="B27" s="36" t="s">
        <v>123</v>
      </c>
      <c r="C27" s="37" t="n">
        <f aca="false">C26/C17</f>
        <v>0.375</v>
      </c>
      <c r="D27" s="37" t="n">
        <f aca="false">D26/D17</f>
        <v>0.375</v>
      </c>
      <c r="E27" s="37" t="n">
        <f aca="false">E26/E17</f>
        <v>0.375</v>
      </c>
      <c r="F27" s="37" t="n">
        <f aca="false">F26/F17</f>
        <v>0.375</v>
      </c>
      <c r="G27" s="37" t="n">
        <f aca="false">G26/G17</f>
        <v>0.377850241545894</v>
      </c>
      <c r="H27" s="37" t="n">
        <f aca="false">H26/H17</f>
        <v>0.380686713808957</v>
      </c>
      <c r="I27" s="37" t="n">
        <f aca="false">I26/I17</f>
        <v>0.383509483307464</v>
      </c>
      <c r="J27" s="37" t="n">
        <f aca="false">J26/J17</f>
        <v>0.386318616238346</v>
      </c>
      <c r="K27" s="37" t="n">
        <f aca="false">K26/K17</f>
        <v>0.389114178478741</v>
      </c>
      <c r="L27" s="37" t="n">
        <f aca="false">L26/L17</f>
        <v>0.391896235587539</v>
      </c>
      <c r="M27" s="37" t="n">
        <f aca="false">M26/M17</f>
        <v>0.394664852806923</v>
      </c>
      <c r="N27" s="37" t="n">
        <f aca="false">N26/N17</f>
        <v>0.397420095063894</v>
      </c>
      <c r="O27" s="37" t="n">
        <f aca="false">O26/O17</f>
        <v>0.400162026971798</v>
      </c>
      <c r="P27" s="37" t="n">
        <f aca="false">P26/P17</f>
        <v>0.402890712831837</v>
      </c>
      <c r="Q27" s="37" t="n">
        <f aca="false">Q26/Q17</f>
        <v>0.405606216634582</v>
      </c>
      <c r="R27" s="37" t="n">
        <f aca="false">R26/R17</f>
        <v>0.408308602061468</v>
      </c>
      <c r="S27" s="37" t="n">
        <f aca="false">S26/S17</f>
        <v>0.410997932486292</v>
      </c>
      <c r="T27" s="37" t="n">
        <f aca="false">T26/T17</f>
        <v>0.413674270976696</v>
      </c>
      <c r="U27" s="37" t="n">
        <f aca="false">U26/U17</f>
        <v>0.416337680295649</v>
      </c>
      <c r="V27" s="37" t="n">
        <f aca="false">V26/V17</f>
        <v>0.418988222902917</v>
      </c>
    </row>
    <row r="29" customFormat="false" ht="15" hidden="false" customHeight="true" outlineLevel="0" collapsed="false">
      <c r="B29" s="12" t="s">
        <v>124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</row>
    <row r="30" customFormat="false" ht="15" hidden="false" customHeight="true" outlineLevel="0" collapsed="false">
      <c r="B30" s="13" t="s">
        <v>125</v>
      </c>
      <c r="C30" s="33" t="n">
        <f aca="false">C17*Inputs!$C$24</f>
        <v>853275.465</v>
      </c>
      <c r="D30" s="33" t="n">
        <f aca="false">D17*Inputs!$C$24</f>
        <v>1191367.155825</v>
      </c>
      <c r="E30" s="33" t="n">
        <f aca="false">E17*Inputs!$C$24</f>
        <v>1561158.03017475</v>
      </c>
      <c r="F30" s="33" t="n">
        <f aca="false">F17*Inputs!$C$24</f>
        <v>1815952.46861999</v>
      </c>
      <c r="G30" s="33" t="n">
        <f aca="false">G17*Inputs!$C$24</f>
        <v>1877915.91517859</v>
      </c>
      <c r="H30" s="33" t="n">
        <f aca="false">H17*Inputs!$C$24</f>
        <v>1942000.23567145</v>
      </c>
      <c r="I30" s="33" t="n">
        <f aca="false">I17*Inputs!$C$24</f>
        <v>2008278.22528541</v>
      </c>
      <c r="J30" s="33" t="n">
        <f aca="false">J17*Inputs!$C$24</f>
        <v>2076825.18397681</v>
      </c>
      <c r="K30" s="33" t="n">
        <f aca="false">K17*Inputs!$C$24</f>
        <v>2147719.00284661</v>
      </c>
      <c r="L30" s="33" t="n">
        <f aca="false">L17*Inputs!$C$24</f>
        <v>2221040.25349977</v>
      </c>
      <c r="M30" s="33" t="n">
        <f aca="false">M17*Inputs!$C$24</f>
        <v>2296872.2804924</v>
      </c>
      <c r="N30" s="33" t="n">
        <f aca="false">N17*Inputs!$C$24</f>
        <v>2375301.29697338</v>
      </c>
      <c r="O30" s="33" t="n">
        <f aca="false">O17*Inputs!$C$24</f>
        <v>2456416.4836311</v>
      </c>
      <c r="P30" s="33" t="n">
        <f aca="false">P17*Inputs!$C$24</f>
        <v>2540310.09105975</v>
      </c>
      <c r="Q30" s="33" t="n">
        <f aca="false">Q17*Inputs!$C$24</f>
        <v>2627077.54566345</v>
      </c>
      <c r="R30" s="33" t="n">
        <f aca="false">R17*Inputs!$C$24</f>
        <v>2716817.55922077</v>
      </c>
      <c r="S30" s="33" t="n">
        <f aca="false">S17*Inputs!$C$24</f>
        <v>2809632.24223638</v>
      </c>
      <c r="T30" s="33" t="n">
        <f aca="false">T17*Inputs!$C$24</f>
        <v>2905627.22121082</v>
      </c>
      <c r="U30" s="33" t="n">
        <f aca="false">U17*Inputs!$C$24</f>
        <v>3004911.75996425</v>
      </c>
      <c r="V30" s="33" t="n">
        <f aca="false">V17*Inputs!$C$24</f>
        <v>3107598.88515438</v>
      </c>
    </row>
    <row r="31" customFormat="false" ht="15" hidden="false" customHeight="true" outlineLevel="0" collapsed="false">
      <c r="B31" s="13" t="s">
        <v>126</v>
      </c>
      <c r="C31" s="33" t="n">
        <f aca="false">IF(OR(AND(Inputs!$C$37&gt;0,MOD(1,Inputs!$C$37)=0,1&gt;=Inputs!$C$8),1=Inputs!$C$39),C17*Inputs!$C$38,0)</f>
        <v>0</v>
      </c>
      <c r="D31" s="33" t="n">
        <f aca="false">IF(OR(AND(Inputs!$C$37&gt;0,MOD(2,Inputs!$C$37)=0,2&gt;=Inputs!$C$8),2=Inputs!$C$39),D17*Inputs!$C$38,0)</f>
        <v>0</v>
      </c>
      <c r="E31" s="33" t="n">
        <f aca="false">IF(OR(AND(Inputs!$C$37&gt;0,MOD(3,Inputs!$C$37)=0,3&gt;=Inputs!$C$8),3=Inputs!$C$39),E17*Inputs!$C$38,0)</f>
        <v>0</v>
      </c>
      <c r="F31" s="33" t="n">
        <f aca="false">IF(OR(AND(Inputs!$C$37&gt;0,MOD(4,Inputs!$C$37)=0,4&gt;=Inputs!$C$8),4=Inputs!$C$39),F17*Inputs!$C$38,0)</f>
        <v>0</v>
      </c>
      <c r="G31" s="33" t="n">
        <f aca="false">IF(OR(AND(Inputs!$C$37&gt;0,MOD(5,Inputs!$C$37)=0,5&gt;=Inputs!$C$8),5=Inputs!$C$39),G17*Inputs!$C$38,0)</f>
        <v>0</v>
      </c>
      <c r="H31" s="33" t="n">
        <f aca="false">IF(OR(AND(Inputs!$C$37&gt;0,MOD(6,Inputs!$C$37)=0,6&gt;=Inputs!$C$8),6=Inputs!$C$39),H17*Inputs!$C$38,0)</f>
        <v>0</v>
      </c>
      <c r="I31" s="33" t="n">
        <f aca="false">IF(OR(AND(Inputs!$C$37&gt;0,MOD(7,Inputs!$C$37)=0,7&gt;=Inputs!$C$8),7=Inputs!$C$39),I17*Inputs!$C$38,0)</f>
        <v>0</v>
      </c>
      <c r="J31" s="33" t="n">
        <f aca="false">IF(OR(AND(Inputs!$C$37&gt;0,MOD(8,Inputs!$C$37)=0,8&gt;=Inputs!$C$8),8=Inputs!$C$39),J17*Inputs!$C$38,0)</f>
        <v>5538200.49060484</v>
      </c>
      <c r="K31" s="33" t="n">
        <f aca="false">IF(OR(AND(Inputs!$C$37&gt;0,MOD(9,Inputs!$C$37)=0,9&gt;=Inputs!$C$8),9=Inputs!$C$39),K17*Inputs!$C$38,0)</f>
        <v>0</v>
      </c>
      <c r="L31" s="33" t="n">
        <f aca="false">IF(OR(AND(Inputs!$C$37&gt;0,MOD(10,Inputs!$C$37)=0,10&gt;=Inputs!$C$8),10=Inputs!$C$39),L17*Inputs!$C$38,0)</f>
        <v>0</v>
      </c>
      <c r="M31" s="33" t="n">
        <f aca="false">IF(OR(AND(Inputs!$C$37&gt;0,MOD(11,Inputs!$C$37)=0,11&gt;=Inputs!$C$8),11=Inputs!$C$39),M17*Inputs!$C$38,0)</f>
        <v>0</v>
      </c>
      <c r="N31" s="33" t="n">
        <f aca="false">IF(OR(AND(Inputs!$C$37&gt;0,MOD(12,Inputs!$C$37)=0,12&gt;=Inputs!$C$8),12=Inputs!$C$39),N17*Inputs!$C$38,0)</f>
        <v>0</v>
      </c>
      <c r="O31" s="33" t="n">
        <f aca="false">IF(OR(AND(Inputs!$C$37&gt;0,MOD(13,Inputs!$C$37)=0,13&gt;=Inputs!$C$8),13=Inputs!$C$39),O17*Inputs!$C$38,0)</f>
        <v>0</v>
      </c>
      <c r="P31" s="33" t="n">
        <f aca="false">IF(OR(AND(Inputs!$C$37&gt;0,MOD(14,Inputs!$C$37)=0,14&gt;=Inputs!$C$8),14=Inputs!$C$39),P17*Inputs!$C$38,0)</f>
        <v>0</v>
      </c>
      <c r="Q31" s="33" t="n">
        <f aca="false">IF(OR(AND(Inputs!$C$37&gt;0,MOD(15,Inputs!$C$37)=0,15&gt;=Inputs!$C$8),15=Inputs!$C$39),Q17*Inputs!$C$38,0)</f>
        <v>0</v>
      </c>
      <c r="R31" s="33" t="n">
        <f aca="false">IF(OR(AND(Inputs!$C$37&gt;0,MOD(16,Inputs!$C$37)=0,16&gt;=Inputs!$C$8),16=Inputs!$C$39),R17*Inputs!$C$38,0)</f>
        <v>7244846.82458873</v>
      </c>
      <c r="S31" s="33" t="n">
        <f aca="false">IF(OR(AND(Inputs!$C$37&gt;0,MOD(17,Inputs!$C$37)=0,17&gt;=Inputs!$C$8),17=Inputs!$C$39),S17*Inputs!$C$38,0)</f>
        <v>0</v>
      </c>
      <c r="T31" s="33" t="n">
        <f aca="false">IF(OR(AND(Inputs!$C$37&gt;0,MOD(18,Inputs!$C$37)=0,18&gt;=Inputs!$C$8),18=Inputs!$C$39),T17*Inputs!$C$38,0)</f>
        <v>0</v>
      </c>
      <c r="U31" s="33" t="n">
        <f aca="false">IF(OR(AND(Inputs!$C$37&gt;0,MOD(19,Inputs!$C$37)=0,19&gt;=Inputs!$C$8),19=Inputs!$C$39),U17*Inputs!$C$38,0)</f>
        <v>0</v>
      </c>
      <c r="V31" s="33" t="n">
        <f aca="false">IF(OR(AND(Inputs!$C$37&gt;0,MOD(20,Inputs!$C$37)=0,20&gt;=Inputs!$C$8),20=Inputs!$C$39),V17*Inputs!$C$38,0)</f>
        <v>0</v>
      </c>
    </row>
    <row r="32" customFormat="false" ht="15" hidden="false" customHeight="true" outlineLevel="0" collapsed="false">
      <c r="B32" s="34" t="s">
        <v>127</v>
      </c>
      <c r="C32" s="35" t="n">
        <f aca="false">C30+C31</f>
        <v>853275.465</v>
      </c>
      <c r="D32" s="35" t="n">
        <f aca="false">D30+D31</f>
        <v>1191367.155825</v>
      </c>
      <c r="E32" s="35" t="n">
        <f aca="false">E30+E31</f>
        <v>1561158.03017475</v>
      </c>
      <c r="F32" s="35" t="n">
        <f aca="false">F30+F31</f>
        <v>1815952.46861999</v>
      </c>
      <c r="G32" s="35" t="n">
        <f aca="false">G30+G31</f>
        <v>1877915.91517859</v>
      </c>
      <c r="H32" s="35" t="n">
        <f aca="false">H30+H31</f>
        <v>1942000.23567145</v>
      </c>
      <c r="I32" s="35" t="n">
        <f aca="false">I30+I31</f>
        <v>2008278.22528541</v>
      </c>
      <c r="J32" s="35" t="n">
        <f aca="false">J30+J31</f>
        <v>7615025.67458165</v>
      </c>
      <c r="K32" s="35" t="n">
        <f aca="false">K30+K31</f>
        <v>2147719.00284661</v>
      </c>
      <c r="L32" s="35" t="n">
        <f aca="false">L30+L31</f>
        <v>2221040.25349977</v>
      </c>
      <c r="M32" s="35" t="n">
        <f aca="false">M30+M31</f>
        <v>2296872.2804924</v>
      </c>
      <c r="N32" s="35" t="n">
        <f aca="false">N30+N31</f>
        <v>2375301.29697338</v>
      </c>
      <c r="O32" s="35" t="n">
        <f aca="false">O30+O31</f>
        <v>2456416.4836311</v>
      </c>
      <c r="P32" s="35" t="n">
        <f aca="false">P30+P31</f>
        <v>2540310.09105975</v>
      </c>
      <c r="Q32" s="35" t="n">
        <f aca="false">Q30+Q31</f>
        <v>2627077.54566345</v>
      </c>
      <c r="R32" s="35" t="n">
        <f aca="false">R30+R31</f>
        <v>9961664.3838095</v>
      </c>
      <c r="S32" s="35" t="n">
        <f aca="false">S30+S31</f>
        <v>2809632.24223638</v>
      </c>
      <c r="T32" s="35" t="n">
        <f aca="false">T30+T31</f>
        <v>2905627.22121082</v>
      </c>
      <c r="U32" s="35" t="n">
        <f aca="false">U30+U31</f>
        <v>3004911.75996425</v>
      </c>
      <c r="V32" s="35" t="n">
        <f aca="false">V30+V31</f>
        <v>3107598.88515438</v>
      </c>
    </row>
    <row r="34" customFormat="false" ht="15" hidden="false" customHeight="true" outlineLevel="0" collapsed="false">
      <c r="B34" s="34" t="s">
        <v>128</v>
      </c>
      <c r="C34" s="35" t="n">
        <f aca="false">C26-C32</f>
        <v>6257353.41</v>
      </c>
      <c r="D34" s="35" t="n">
        <f aca="false">D26-D32</f>
        <v>8736692.47605</v>
      </c>
      <c r="E34" s="35" t="n">
        <f aca="false">E26-E32</f>
        <v>11448492.2212815</v>
      </c>
      <c r="F34" s="35" t="n">
        <f aca="false">F26-F32</f>
        <v>13316984.7698799</v>
      </c>
      <c r="G34" s="35" t="n">
        <f aca="false">G26-G32</f>
        <v>13890328.1326683</v>
      </c>
      <c r="H34" s="35" t="n">
        <f aca="false">H26-H32</f>
        <v>14486748.3850838</v>
      </c>
      <c r="I34" s="35" t="n">
        <f aca="false">I26-I32</f>
        <v>15107138.3195332</v>
      </c>
      <c r="J34" s="35" t="n">
        <f aca="false">J26-J32</f>
        <v>10214223.9085933</v>
      </c>
      <c r="K34" s="35" t="n">
        <f aca="false">K26-K32</f>
        <v>16423568.0059498</v>
      </c>
      <c r="L34" s="35" t="n">
        <f aca="false">L26-L32</f>
        <v>17121566.7339437</v>
      </c>
      <c r="M34" s="35" t="n">
        <f aca="false">M26-M32</f>
        <v>17847455.7305484</v>
      </c>
      <c r="N34" s="35" t="n">
        <f aca="false">N26-N32</f>
        <v>18602309.0863277</v>
      </c>
      <c r="O34" s="35" t="n">
        <f aca="false">O26-O32</f>
        <v>19387241.2758524</v>
      </c>
      <c r="P34" s="35" t="n">
        <f aca="false">P26-P32</f>
        <v>20203408.6511841</v>
      </c>
      <c r="Q34" s="35" t="n">
        <f aca="false">Q26-Q32</f>
        <v>21052010.9899413</v>
      </c>
      <c r="R34" s="35" t="n">
        <f aca="false">R26-R32</f>
        <v>14689446.2753346</v>
      </c>
      <c r="S34" s="35" t="n">
        <f aca="false">S26-S32</f>
        <v>22851546.4823409</v>
      </c>
      <c r="T34" s="35" t="n">
        <f aca="false">T26-T32</f>
        <v>23805111.0557765</v>
      </c>
      <c r="U34" s="35" t="n">
        <f aca="false">U26-U32</f>
        <v>24796376.943072</v>
      </c>
      <c r="V34" s="35" t="n">
        <f aca="false">V26-V32</f>
        <v>25826786.3234216</v>
      </c>
    </row>
    <row r="36" customFormat="false" ht="15" hidden="false" customHeight="true" outlineLevel="0" collapsed="false">
      <c r="B36" s="36" t="s">
        <v>129</v>
      </c>
      <c r="C36" s="38" t="n">
        <f aca="false">D26</f>
        <v>9928059.631875</v>
      </c>
      <c r="D36" s="38" t="n">
        <f aca="false">E26</f>
        <v>13009650.2514563</v>
      </c>
      <c r="E36" s="38" t="n">
        <f aca="false">F26</f>
        <v>15132937.2384999</v>
      </c>
      <c r="F36" s="38" t="n">
        <f aca="false">G26</f>
        <v>15768244.0478469</v>
      </c>
      <c r="G36" s="38" t="n">
        <f aca="false">H26</f>
        <v>16428748.6207552</v>
      </c>
      <c r="H36" s="38" t="n">
        <f aca="false">I26</f>
        <v>17115416.5448186</v>
      </c>
      <c r="I36" s="38" t="n">
        <f aca="false">J26</f>
        <v>17829249.5831749</v>
      </c>
      <c r="J36" s="38" t="n">
        <f aca="false">K26</f>
        <v>18571287.0087964</v>
      </c>
      <c r="K36" s="38" t="n">
        <f aca="false">L26</f>
        <v>19342606.9874434</v>
      </c>
      <c r="L36" s="38" t="n">
        <f aca="false">M26</f>
        <v>20144328.0110408</v>
      </c>
      <c r="M36" s="38" t="n">
        <f aca="false">N26</f>
        <v>20977610.3833011</v>
      </c>
      <c r="N36" s="38" t="n">
        <f aca="false">O26</f>
        <v>21843657.7594835</v>
      </c>
      <c r="O36" s="38" t="n">
        <f aca="false">P26</f>
        <v>22743718.7422438</v>
      </c>
      <c r="P36" s="38" t="n">
        <f aca="false">Q26</f>
        <v>23679088.5356048</v>
      </c>
      <c r="Q36" s="38" t="n">
        <f aca="false">R26</f>
        <v>24651110.6591441</v>
      </c>
      <c r="R36" s="38" t="n">
        <f aca="false">S26</f>
        <v>25661178.7245772</v>
      </c>
      <c r="S36" s="38" t="n">
        <f aca="false">T26</f>
        <v>26710738.2769873</v>
      </c>
      <c r="T36" s="38" t="n">
        <f aca="false">U26</f>
        <v>27801288.7030363</v>
      </c>
      <c r="U36" s="38" t="n">
        <f aca="false">V26</f>
        <v>28934385.208576</v>
      </c>
      <c r="V36" s="38" t="n">
        <f aca="false">V26*(1+Inputs!$C$27)</f>
        <v>29947088.6908761</v>
      </c>
    </row>
  </sheetData>
  <mergeCells count="4">
    <mergeCell ref="B8:V8"/>
    <mergeCell ref="B13:V13"/>
    <mergeCell ref="B19:V19"/>
    <mergeCell ref="B29:V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W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23" min="3" style="1" width="13"/>
  </cols>
  <sheetData>
    <row r="2" customFormat="false" ht="21.75" hidden="false" customHeight="true" outlineLevel="0" collapsed="false">
      <c r="B2" s="10" t="s">
        <v>130</v>
      </c>
    </row>
    <row r="3" customFormat="false" ht="15" hidden="false" customHeight="true" outlineLevel="0" collapsed="false">
      <c r="B3" s="11" t="s">
        <v>131</v>
      </c>
    </row>
    <row r="5" customFormat="false" ht="15" hidden="false" customHeight="true" outlineLevel="0" collapsed="false">
      <c r="B5" s="12" t="s">
        <v>132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</row>
    <row r="6" customFormat="false" ht="15" hidden="false" customHeight="true" outlineLevel="0" collapsed="false">
      <c r="B6" s="39" t="s">
        <v>133</v>
      </c>
      <c r="C6" s="30" t="s">
        <v>134</v>
      </c>
      <c r="D6" s="30" t="s">
        <v>135</v>
      </c>
      <c r="E6" s="30" t="s">
        <v>136</v>
      </c>
      <c r="F6" s="30" t="s">
        <v>137</v>
      </c>
      <c r="G6" s="30" t="s">
        <v>138</v>
      </c>
      <c r="H6" s="30" t="s">
        <v>139</v>
      </c>
      <c r="I6" s="30" t="s">
        <v>140</v>
      </c>
      <c r="J6" s="30" t="s">
        <v>141</v>
      </c>
      <c r="K6" s="30" t="s">
        <v>142</v>
      </c>
      <c r="L6" s="30" t="s">
        <v>143</v>
      </c>
      <c r="M6" s="30" t="s">
        <v>144</v>
      </c>
      <c r="N6" s="30" t="s">
        <v>145</v>
      </c>
      <c r="O6" s="30" t="s">
        <v>146</v>
      </c>
      <c r="P6" s="30" t="s">
        <v>147</v>
      </c>
      <c r="Q6" s="30" t="s">
        <v>148</v>
      </c>
      <c r="R6" s="30" t="s">
        <v>149</v>
      </c>
      <c r="S6" s="30" t="s">
        <v>150</v>
      </c>
      <c r="T6" s="30" t="s">
        <v>151</v>
      </c>
      <c r="U6" s="30" t="s">
        <v>152</v>
      </c>
      <c r="V6" s="30" t="s">
        <v>153</v>
      </c>
      <c r="W6" s="30" t="s">
        <v>154</v>
      </c>
    </row>
    <row r="7" customFormat="false" ht="15" hidden="false" customHeight="true" outlineLevel="0" collapsed="false">
      <c r="B7" s="13" t="s">
        <v>155</v>
      </c>
      <c r="C7" s="40" t="n">
        <f aca="false">-Inputs!$C$33</f>
        <v>-42000000</v>
      </c>
      <c r="D7" s="33" t="n">
        <f aca="false">IF(1&lt;=5,CashFlow_20Y!C34,0)</f>
        <v>6257353.41</v>
      </c>
      <c r="E7" s="33" t="n">
        <f aca="false">IF(2&lt;=5,CashFlow_20Y!D34,0)</f>
        <v>8736692.47605</v>
      </c>
      <c r="F7" s="33" t="n">
        <f aca="false">IF(3&lt;=5,CashFlow_20Y!E34,0)</f>
        <v>11448492.2212815</v>
      </c>
      <c r="G7" s="33" t="n">
        <f aca="false">IF(4&lt;=5,CashFlow_20Y!F34,0)</f>
        <v>13316984.7698799</v>
      </c>
      <c r="H7" s="33" t="n">
        <f aca="false">IF(5&lt;=5,CashFlow_20Y!G34,0)</f>
        <v>13890328.1326683</v>
      </c>
      <c r="I7" s="33" t="n">
        <f aca="false">IF(6&lt;=5,CashFlow_20Y!H34,0)</f>
        <v>0</v>
      </c>
      <c r="J7" s="33" t="n">
        <f aca="false">IF(7&lt;=5,CashFlow_20Y!I34,0)</f>
        <v>0</v>
      </c>
      <c r="K7" s="33" t="n">
        <f aca="false">IF(8&lt;=5,CashFlow_20Y!J34,0)</f>
        <v>0</v>
      </c>
      <c r="L7" s="33" t="n">
        <f aca="false">IF(9&lt;=5,CashFlow_20Y!K34,0)</f>
        <v>0</v>
      </c>
      <c r="M7" s="33" t="n">
        <f aca="false">IF(10&lt;=5,CashFlow_20Y!L34,0)</f>
        <v>0</v>
      </c>
      <c r="N7" s="33" t="n">
        <f aca="false">IF(11&lt;=5,CashFlow_20Y!M34,0)</f>
        <v>0</v>
      </c>
      <c r="O7" s="33" t="n">
        <f aca="false">IF(12&lt;=5,CashFlow_20Y!N34,0)</f>
        <v>0</v>
      </c>
      <c r="P7" s="33" t="n">
        <f aca="false">IF(13&lt;=5,CashFlow_20Y!O34,0)</f>
        <v>0</v>
      </c>
      <c r="Q7" s="33" t="n">
        <f aca="false">IF(14&lt;=5,CashFlow_20Y!P34,0)</f>
        <v>0</v>
      </c>
      <c r="R7" s="33" t="n">
        <f aca="false">IF(15&lt;=5,CashFlow_20Y!Q34,0)</f>
        <v>0</v>
      </c>
      <c r="S7" s="33" t="n">
        <f aca="false">IF(16&lt;=5,CashFlow_20Y!R34,0)</f>
        <v>0</v>
      </c>
      <c r="T7" s="33" t="n">
        <f aca="false">IF(17&lt;=5,CashFlow_20Y!S34,0)</f>
        <v>0</v>
      </c>
      <c r="U7" s="33" t="n">
        <f aca="false">IF(18&lt;=5,CashFlow_20Y!T34,0)</f>
        <v>0</v>
      </c>
      <c r="V7" s="33" t="n">
        <f aca="false">IF(19&lt;=5,CashFlow_20Y!U34,0)</f>
        <v>0</v>
      </c>
      <c r="W7" s="33" t="n">
        <f aca="false">IF(20&lt;=5,CashFlow_20Y!V34,0)</f>
        <v>0</v>
      </c>
    </row>
    <row r="8" customFormat="false" ht="15" hidden="false" customHeight="true" outlineLevel="0" collapsed="false">
      <c r="B8" s="13" t="s">
        <v>156</v>
      </c>
      <c r="D8" s="33" t="n">
        <f aca="false">IF(1=5,(CashFlow_20Y!C36/Inputs!$C$35)*(1-Inputs!$C$36),0)</f>
        <v>0</v>
      </c>
      <c r="E8" s="33" t="n">
        <f aca="false">IF(2=5,(CashFlow_20Y!D36/Inputs!$C$35)*(1-Inputs!$C$36),0)</f>
        <v>0</v>
      </c>
      <c r="F8" s="33" t="n">
        <f aca="false">IF(3=5,(CashFlow_20Y!E36/Inputs!$C$35)*(1-Inputs!$C$36),0)</f>
        <v>0</v>
      </c>
      <c r="G8" s="33" t="n">
        <f aca="false">IF(4=5,(CashFlow_20Y!F36/Inputs!$C$35)*(1-Inputs!$C$36),0)</f>
        <v>0</v>
      </c>
      <c r="H8" s="33" t="n">
        <f aca="false">IF(5=5,(CashFlow_20Y!G36/Inputs!$C$35)*(1-Inputs!$C$36),0)</f>
        <v>214668981.977868</v>
      </c>
      <c r="I8" s="33" t="n">
        <f aca="false">IF(6=5,(CashFlow_20Y!H36/Inputs!$C$35)*(1-Inputs!$C$36),0)</f>
        <v>0</v>
      </c>
      <c r="J8" s="33" t="n">
        <f aca="false">IF(7=5,(CashFlow_20Y!I36/Inputs!$C$35)*(1-Inputs!$C$36),0)</f>
        <v>0</v>
      </c>
      <c r="K8" s="33" t="n">
        <f aca="false">IF(8=5,(CashFlow_20Y!J36/Inputs!$C$35)*(1-Inputs!$C$36),0)</f>
        <v>0</v>
      </c>
      <c r="L8" s="33" t="n">
        <f aca="false">IF(9=5,(CashFlow_20Y!K36/Inputs!$C$35)*(1-Inputs!$C$36),0)</f>
        <v>0</v>
      </c>
      <c r="M8" s="33" t="n">
        <f aca="false">IF(10=5,(CashFlow_20Y!L36/Inputs!$C$35)*(1-Inputs!$C$36),0)</f>
        <v>0</v>
      </c>
      <c r="N8" s="33" t="n">
        <f aca="false">IF(11=5,(CashFlow_20Y!M36/Inputs!$C$35)*(1-Inputs!$C$36),0)</f>
        <v>0</v>
      </c>
      <c r="O8" s="33" t="n">
        <f aca="false">IF(12=5,(CashFlow_20Y!N36/Inputs!$C$35)*(1-Inputs!$C$36),0)</f>
        <v>0</v>
      </c>
      <c r="P8" s="33" t="n">
        <f aca="false">IF(13=5,(CashFlow_20Y!O36/Inputs!$C$35)*(1-Inputs!$C$36),0)</f>
        <v>0</v>
      </c>
      <c r="Q8" s="33" t="n">
        <f aca="false">IF(14=5,(CashFlow_20Y!P36/Inputs!$C$35)*(1-Inputs!$C$36),0)</f>
        <v>0</v>
      </c>
      <c r="R8" s="33" t="n">
        <f aca="false">IF(15=5,(CashFlow_20Y!Q36/Inputs!$C$35)*(1-Inputs!$C$36),0)</f>
        <v>0</v>
      </c>
      <c r="S8" s="33" t="n">
        <f aca="false">IF(16=5,(CashFlow_20Y!R36/Inputs!$C$35)*(1-Inputs!$C$36),0)</f>
        <v>0</v>
      </c>
      <c r="T8" s="33" t="n">
        <f aca="false">IF(17=5,(CashFlow_20Y!S36/Inputs!$C$35)*(1-Inputs!$C$36),0)</f>
        <v>0</v>
      </c>
      <c r="U8" s="33" t="n">
        <f aca="false">IF(18=5,(CashFlow_20Y!T36/Inputs!$C$35)*(1-Inputs!$C$36),0)</f>
        <v>0</v>
      </c>
      <c r="V8" s="33" t="n">
        <f aca="false">IF(19=5,(CashFlow_20Y!U36/Inputs!$C$35)*(1-Inputs!$C$36),0)</f>
        <v>0</v>
      </c>
      <c r="W8" s="33" t="n">
        <f aca="false">IF(20=5,(CashFlow_20Y!V36/Inputs!$C$35)*(1-Inputs!$C$36),0)</f>
        <v>0</v>
      </c>
    </row>
    <row r="9" customFormat="false" ht="15" hidden="false" customHeight="true" outlineLevel="0" collapsed="false">
      <c r="B9" s="34" t="s">
        <v>157</v>
      </c>
      <c r="C9" s="35" t="n">
        <f aca="false">C7</f>
        <v>-42000000</v>
      </c>
      <c r="D9" s="35" t="n">
        <f aca="false">D7+D8</f>
        <v>6257353.41</v>
      </c>
      <c r="E9" s="35" t="n">
        <f aca="false">E7+E8</f>
        <v>8736692.47605</v>
      </c>
      <c r="F9" s="35" t="n">
        <f aca="false">F7+F8</f>
        <v>11448492.2212815</v>
      </c>
      <c r="G9" s="35" t="n">
        <f aca="false">G7+G8</f>
        <v>13316984.7698799</v>
      </c>
      <c r="H9" s="35" t="n">
        <f aca="false">H7+H8</f>
        <v>228559310.110536</v>
      </c>
      <c r="I9" s="35" t="n">
        <f aca="false">I7+I8</f>
        <v>0</v>
      </c>
      <c r="J9" s="35" t="n">
        <f aca="false">J7+J8</f>
        <v>0</v>
      </c>
      <c r="K9" s="35" t="n">
        <f aca="false">K7+K8</f>
        <v>0</v>
      </c>
      <c r="L9" s="35" t="n">
        <f aca="false">L7+L8</f>
        <v>0</v>
      </c>
      <c r="M9" s="35" t="n">
        <f aca="false">M7+M8</f>
        <v>0</v>
      </c>
      <c r="N9" s="35" t="n">
        <f aca="false">N7+N8</f>
        <v>0</v>
      </c>
      <c r="O9" s="35" t="n">
        <f aca="false">O7+O8</f>
        <v>0</v>
      </c>
      <c r="P9" s="35" t="n">
        <f aca="false">P7+P8</f>
        <v>0</v>
      </c>
      <c r="Q9" s="35" t="n">
        <f aca="false">Q7+Q8</f>
        <v>0</v>
      </c>
      <c r="R9" s="35" t="n">
        <f aca="false">R7+R8</f>
        <v>0</v>
      </c>
      <c r="S9" s="35" t="n">
        <f aca="false">S7+S8</f>
        <v>0</v>
      </c>
      <c r="T9" s="35" t="n">
        <f aca="false">T7+T8</f>
        <v>0</v>
      </c>
      <c r="U9" s="35" t="n">
        <f aca="false">U7+U8</f>
        <v>0</v>
      </c>
      <c r="V9" s="35" t="n">
        <f aca="false">V7+V8</f>
        <v>0</v>
      </c>
      <c r="W9" s="35" t="n">
        <f aca="false">W7+W8</f>
        <v>0</v>
      </c>
    </row>
    <row r="10" customFormat="false" ht="15" hidden="false" customHeight="true" outlineLevel="0" collapsed="false">
      <c r="B10" s="36" t="s">
        <v>158</v>
      </c>
      <c r="C10" s="41" t="n">
        <f aca="false">1/(1+Inputs!$C$34)^0</f>
        <v>1</v>
      </c>
      <c r="D10" s="41" t="n">
        <f aca="false">1/(1+Inputs!$C$34)^1</f>
        <v>0.91324200913242</v>
      </c>
      <c r="E10" s="41" t="n">
        <f aca="false">1/(1+Inputs!$C$34)^2</f>
        <v>0.834010967244219</v>
      </c>
      <c r="F10" s="41" t="n">
        <f aca="false">1/(1+Inputs!$C$34)^3</f>
        <v>0.761653851364584</v>
      </c>
      <c r="G10" s="41" t="n">
        <f aca="false">1/(1+Inputs!$C$34)^4</f>
        <v>0.695574293483638</v>
      </c>
      <c r="H10" s="41" t="n">
        <f aca="false">1/(1+Inputs!$C$34)^5</f>
        <v>0.635227665281862</v>
      </c>
      <c r="I10" s="41" t="n">
        <f aca="false">1/(1+Inputs!$C$34)^6</f>
        <v>0.580116589298504</v>
      </c>
      <c r="J10" s="41" t="n">
        <f aca="false">1/(1+Inputs!$C$34)^7</f>
        <v>0.529786839542012</v>
      </c>
      <c r="K10" s="41" t="n">
        <f aca="false">1/(1+Inputs!$C$34)^8</f>
        <v>0.483823597755263</v>
      </c>
      <c r="L10" s="41" t="n">
        <f aca="false">1/(1+Inputs!$C$34)^9</f>
        <v>0.441848034479692</v>
      </c>
      <c r="M10" s="41" t="n">
        <f aca="false">1/(1+Inputs!$C$34)^10</f>
        <v>0.403514186739445</v>
      </c>
      <c r="N10" s="41" t="n">
        <f aca="false">1/(1+Inputs!$C$34)^11</f>
        <v>0.368506106611365</v>
      </c>
      <c r="O10" s="41" t="n">
        <f aca="false">1/(1+Inputs!$C$34)^12</f>
        <v>0.336535257179329</v>
      </c>
      <c r="P10" s="41" t="n">
        <f aca="false">1/(1+Inputs!$C$34)^13</f>
        <v>0.307338134410346</v>
      </c>
      <c r="Q10" s="41" t="n">
        <f aca="false">1/(1+Inputs!$C$34)^14</f>
        <v>0.280674095351914</v>
      </c>
      <c r="R10" s="41" t="n">
        <f aca="false">1/(1+Inputs!$C$34)^15</f>
        <v>0.256323374750606</v>
      </c>
      <c r="S10" s="41" t="n">
        <f aca="false">1/(1+Inputs!$C$34)^16</f>
        <v>0.234085273744846</v>
      </c>
      <c r="T10" s="41" t="n">
        <f aca="false">1/(1+Inputs!$C$34)^17</f>
        <v>0.213776505703056</v>
      </c>
      <c r="U10" s="41" t="n">
        <f aca="false">1/(1+Inputs!$C$34)^18</f>
        <v>0.195229685573567</v>
      </c>
      <c r="V10" s="41" t="n">
        <f aca="false">1/(1+Inputs!$C$34)^19</f>
        <v>0.178291950295495</v>
      </c>
      <c r="W10" s="41" t="n">
        <f aca="false">1/(1+Inputs!$C$34)^20</f>
        <v>0.162823698899995</v>
      </c>
    </row>
    <row r="11" customFormat="false" ht="15" hidden="false" customHeight="true" outlineLevel="0" collapsed="false">
      <c r="B11" s="13" t="s">
        <v>159</v>
      </c>
      <c r="C11" s="33" t="n">
        <f aca="false">C9*C10</f>
        <v>-42000000</v>
      </c>
      <c r="D11" s="33" t="n">
        <f aca="false">D9*D10</f>
        <v>5714478</v>
      </c>
      <c r="E11" s="33" t="n">
        <f aca="false">E9*E10</f>
        <v>7286497.34246576</v>
      </c>
      <c r="F11" s="33" t="n">
        <f aca="false">F9*F10</f>
        <v>8719788.19265653</v>
      </c>
      <c r="G11" s="33" t="n">
        <f aca="false">G9*G10</f>
        <v>9262952.27264161</v>
      </c>
      <c r="H11" s="33" t="n">
        <f aca="false">H9*H10</f>
        <v>145187196.939949</v>
      </c>
      <c r="I11" s="33" t="n">
        <f aca="false">I9*I10</f>
        <v>0</v>
      </c>
      <c r="J11" s="33" t="n">
        <f aca="false">J9*J10</f>
        <v>0</v>
      </c>
      <c r="K11" s="33" t="n">
        <f aca="false">K9*K10</f>
        <v>0</v>
      </c>
      <c r="L11" s="33" t="n">
        <f aca="false">L9*L10</f>
        <v>0</v>
      </c>
      <c r="M11" s="33" t="n">
        <f aca="false">M9*M10</f>
        <v>0</v>
      </c>
      <c r="N11" s="33" t="n">
        <f aca="false">N9*N10</f>
        <v>0</v>
      </c>
      <c r="O11" s="33" t="n">
        <f aca="false">O9*O10</f>
        <v>0</v>
      </c>
      <c r="P11" s="33" t="n">
        <f aca="false">P9*P10</f>
        <v>0</v>
      </c>
      <c r="Q11" s="33" t="n">
        <f aca="false">Q9*Q10</f>
        <v>0</v>
      </c>
      <c r="R11" s="33" t="n">
        <f aca="false">R9*R10</f>
        <v>0</v>
      </c>
      <c r="S11" s="33" t="n">
        <f aca="false">S9*S10</f>
        <v>0</v>
      </c>
      <c r="T11" s="33" t="n">
        <f aca="false">T9*T10</f>
        <v>0</v>
      </c>
      <c r="U11" s="33" t="n">
        <f aca="false">U9*U10</f>
        <v>0</v>
      </c>
      <c r="V11" s="33" t="n">
        <f aca="false">V9*V10</f>
        <v>0</v>
      </c>
      <c r="W11" s="33" t="n">
        <f aca="false">W9*W10</f>
        <v>0</v>
      </c>
    </row>
    <row r="12" customFormat="false" ht="15" hidden="false" customHeight="true" outlineLevel="0" collapsed="false">
      <c r="B12" s="36" t="s">
        <v>160</v>
      </c>
      <c r="C12" s="38" t="n">
        <f aca="false">C9</f>
        <v>-42000000</v>
      </c>
      <c r="D12" s="38" t="n">
        <f aca="false">C12+D9</f>
        <v>-35742646.59</v>
      </c>
      <c r="E12" s="38" t="n">
        <f aca="false">D12+E9</f>
        <v>-27005954.11395</v>
      </c>
      <c r="F12" s="38" t="n">
        <f aca="false">E12+F9</f>
        <v>-15557461.8926685</v>
      </c>
      <c r="G12" s="38" t="n">
        <f aca="false">F12+G9</f>
        <v>-2240477.12278856</v>
      </c>
      <c r="H12" s="38" t="n">
        <f aca="false">G12+H9</f>
        <v>226318832.987748</v>
      </c>
      <c r="I12" s="38" t="n">
        <f aca="false">H12+I9</f>
        <v>226318832.987748</v>
      </c>
      <c r="J12" s="38" t="n">
        <f aca="false">I12+J9</f>
        <v>226318832.987748</v>
      </c>
      <c r="K12" s="38" t="n">
        <f aca="false">J12+K9</f>
        <v>226318832.987748</v>
      </c>
      <c r="L12" s="38" t="n">
        <f aca="false">K12+L9</f>
        <v>226318832.987748</v>
      </c>
      <c r="M12" s="38" t="n">
        <f aca="false">L12+M9</f>
        <v>226318832.987748</v>
      </c>
      <c r="N12" s="38" t="n">
        <f aca="false">M12+N9</f>
        <v>226318832.987748</v>
      </c>
      <c r="O12" s="38" t="n">
        <f aca="false">N12+O9</f>
        <v>226318832.987748</v>
      </c>
      <c r="P12" s="38" t="n">
        <f aca="false">O12+P9</f>
        <v>226318832.987748</v>
      </c>
      <c r="Q12" s="38" t="n">
        <f aca="false">P12+Q9</f>
        <v>226318832.987748</v>
      </c>
      <c r="R12" s="38" t="n">
        <f aca="false">Q12+R9</f>
        <v>226318832.987748</v>
      </c>
      <c r="S12" s="38" t="n">
        <f aca="false">R12+S9</f>
        <v>226318832.987748</v>
      </c>
      <c r="T12" s="38" t="n">
        <f aca="false">S12+T9</f>
        <v>226318832.987748</v>
      </c>
      <c r="U12" s="38" t="n">
        <f aca="false">T12+U9</f>
        <v>226318832.987748</v>
      </c>
      <c r="V12" s="38" t="n">
        <f aca="false">U12+V9</f>
        <v>226318832.987748</v>
      </c>
      <c r="W12" s="38" t="n">
        <f aca="false">V12+W9</f>
        <v>226318832.987748</v>
      </c>
    </row>
    <row r="13" customFormat="false" ht="15" hidden="false" customHeight="true" outlineLevel="0" collapsed="false">
      <c r="B13" s="18" t="s">
        <v>161</v>
      </c>
      <c r="C13" s="42" t="n">
        <f aca="false">SUM(C11:W11)</f>
        <v>134170912.747713</v>
      </c>
    </row>
    <row r="14" customFormat="false" ht="15" hidden="false" customHeight="true" outlineLevel="0" collapsed="false">
      <c r="B14" s="18" t="s">
        <v>162</v>
      </c>
      <c r="C14" s="43" t="n">
        <f aca="false">IRR(C9:W9)</f>
        <v>0.518438840297007</v>
      </c>
    </row>
    <row r="15" customFormat="false" ht="15" hidden="false" customHeight="true" outlineLevel="0" collapsed="false">
      <c r="B15" s="13" t="s">
        <v>163</v>
      </c>
      <c r="C15" s="44" t="n">
        <f aca="false">SUMIF(C9:W9,"&gt;0")/(-C9)</f>
        <v>6.38854364256542</v>
      </c>
    </row>
    <row r="16" customFormat="false" ht="15" hidden="false" customHeight="true" outlineLevel="0" collapsed="false">
      <c r="B16" s="12" t="s">
        <v>164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 customFormat="false" ht="15" hidden="false" customHeight="true" outlineLevel="0" collapsed="false">
      <c r="B17" s="39" t="s">
        <v>133</v>
      </c>
      <c r="C17" s="30" t="s">
        <v>134</v>
      </c>
      <c r="D17" s="30" t="s">
        <v>135</v>
      </c>
      <c r="E17" s="30" t="s">
        <v>136</v>
      </c>
      <c r="F17" s="30" t="s">
        <v>137</v>
      </c>
      <c r="G17" s="30" t="s">
        <v>138</v>
      </c>
      <c r="H17" s="30" t="s">
        <v>139</v>
      </c>
      <c r="I17" s="30" t="s">
        <v>140</v>
      </c>
      <c r="J17" s="30" t="s">
        <v>141</v>
      </c>
      <c r="K17" s="30" t="s">
        <v>142</v>
      </c>
      <c r="L17" s="30" t="s">
        <v>143</v>
      </c>
      <c r="M17" s="30" t="s">
        <v>144</v>
      </c>
      <c r="N17" s="30" t="s">
        <v>145</v>
      </c>
      <c r="O17" s="30" t="s">
        <v>146</v>
      </c>
      <c r="P17" s="30" t="s">
        <v>147</v>
      </c>
      <c r="Q17" s="30" t="s">
        <v>148</v>
      </c>
      <c r="R17" s="30" t="s">
        <v>149</v>
      </c>
      <c r="S17" s="30" t="s">
        <v>150</v>
      </c>
      <c r="T17" s="30" t="s">
        <v>151</v>
      </c>
      <c r="U17" s="30" t="s">
        <v>152</v>
      </c>
      <c r="V17" s="30" t="s">
        <v>153</v>
      </c>
      <c r="W17" s="30" t="s">
        <v>154</v>
      </c>
    </row>
    <row r="18" customFormat="false" ht="15" hidden="false" customHeight="true" outlineLevel="0" collapsed="false">
      <c r="B18" s="13" t="s">
        <v>155</v>
      </c>
      <c r="C18" s="40" t="n">
        <f aca="false">-Inputs!$C$33</f>
        <v>-42000000</v>
      </c>
      <c r="D18" s="33" t="n">
        <f aca="false">IF(1&lt;=8,CashFlow_20Y!C34,0)</f>
        <v>6257353.41</v>
      </c>
      <c r="E18" s="33" t="n">
        <f aca="false">IF(2&lt;=8,CashFlow_20Y!D34,0)</f>
        <v>8736692.47605</v>
      </c>
      <c r="F18" s="33" t="n">
        <f aca="false">IF(3&lt;=8,CashFlow_20Y!E34,0)</f>
        <v>11448492.2212815</v>
      </c>
      <c r="G18" s="33" t="n">
        <f aca="false">IF(4&lt;=8,CashFlow_20Y!F34,0)</f>
        <v>13316984.7698799</v>
      </c>
      <c r="H18" s="33" t="n">
        <f aca="false">IF(5&lt;=8,CashFlow_20Y!G34,0)</f>
        <v>13890328.1326683</v>
      </c>
      <c r="I18" s="33" t="n">
        <f aca="false">IF(6&lt;=8,CashFlow_20Y!H34,0)</f>
        <v>14486748.3850838</v>
      </c>
      <c r="J18" s="33" t="n">
        <f aca="false">IF(7&lt;=8,CashFlow_20Y!I34,0)</f>
        <v>15107138.3195332</v>
      </c>
      <c r="K18" s="33" t="n">
        <f aca="false">IF(8&lt;=8,CashFlow_20Y!J34,0)</f>
        <v>10214223.9085933</v>
      </c>
      <c r="L18" s="33" t="n">
        <f aca="false">IF(9&lt;=8,CashFlow_20Y!K34,0)</f>
        <v>0</v>
      </c>
      <c r="M18" s="33" t="n">
        <f aca="false">IF(10&lt;=8,CashFlow_20Y!L34,0)</f>
        <v>0</v>
      </c>
      <c r="N18" s="33" t="n">
        <f aca="false">IF(11&lt;=8,CashFlow_20Y!M34,0)</f>
        <v>0</v>
      </c>
      <c r="O18" s="33" t="n">
        <f aca="false">IF(12&lt;=8,CashFlow_20Y!N34,0)</f>
        <v>0</v>
      </c>
      <c r="P18" s="33" t="n">
        <f aca="false">IF(13&lt;=8,CashFlow_20Y!O34,0)</f>
        <v>0</v>
      </c>
      <c r="Q18" s="33" t="n">
        <f aca="false">IF(14&lt;=8,CashFlow_20Y!P34,0)</f>
        <v>0</v>
      </c>
      <c r="R18" s="33" t="n">
        <f aca="false">IF(15&lt;=8,CashFlow_20Y!Q34,0)</f>
        <v>0</v>
      </c>
      <c r="S18" s="33" t="n">
        <f aca="false">IF(16&lt;=8,CashFlow_20Y!R34,0)</f>
        <v>0</v>
      </c>
      <c r="T18" s="33" t="n">
        <f aca="false">IF(17&lt;=8,CashFlow_20Y!S34,0)</f>
        <v>0</v>
      </c>
      <c r="U18" s="33" t="n">
        <f aca="false">IF(18&lt;=8,CashFlow_20Y!T34,0)</f>
        <v>0</v>
      </c>
      <c r="V18" s="33" t="n">
        <f aca="false">IF(19&lt;=8,CashFlow_20Y!U34,0)</f>
        <v>0</v>
      </c>
      <c r="W18" s="33" t="n">
        <f aca="false">IF(20&lt;=8,CashFlow_20Y!V34,0)</f>
        <v>0</v>
      </c>
    </row>
    <row r="19" customFormat="false" ht="15" hidden="false" customHeight="true" outlineLevel="0" collapsed="false">
      <c r="B19" s="13" t="s">
        <v>156</v>
      </c>
      <c r="D19" s="33" t="n">
        <f aca="false">IF(1=8,(CashFlow_20Y!C36/Inputs!$C$35)*(1-Inputs!$C$36),0)</f>
        <v>0</v>
      </c>
      <c r="E19" s="33" t="n">
        <f aca="false">IF(2=8,(CashFlow_20Y!D36/Inputs!$C$35)*(1-Inputs!$C$36),0)</f>
        <v>0</v>
      </c>
      <c r="F19" s="33" t="n">
        <f aca="false">IF(3=8,(CashFlow_20Y!E36/Inputs!$C$35)*(1-Inputs!$C$36),0)</f>
        <v>0</v>
      </c>
      <c r="G19" s="33" t="n">
        <f aca="false">IF(4=8,(CashFlow_20Y!F36/Inputs!$C$35)*(1-Inputs!$C$36),0)</f>
        <v>0</v>
      </c>
      <c r="H19" s="33" t="n">
        <f aca="false">IF(5=8,(CashFlow_20Y!G36/Inputs!$C$35)*(1-Inputs!$C$36),0)</f>
        <v>0</v>
      </c>
      <c r="I19" s="33" t="n">
        <f aca="false">IF(6=8,(CashFlow_20Y!H36/Inputs!$C$35)*(1-Inputs!$C$36),0)</f>
        <v>0</v>
      </c>
      <c r="J19" s="33" t="n">
        <f aca="false">IF(7=8,(CashFlow_20Y!I36/Inputs!$C$35)*(1-Inputs!$C$36),0)</f>
        <v>0</v>
      </c>
      <c r="K19" s="33" t="n">
        <f aca="false">IF(8=8,(CashFlow_20Y!J36/Inputs!$C$35)*(1-Inputs!$C$36),0)</f>
        <v>242664816.91494</v>
      </c>
      <c r="L19" s="33" t="n">
        <f aca="false">IF(9=8,(CashFlow_20Y!K36/Inputs!$C$35)*(1-Inputs!$C$36),0)</f>
        <v>0</v>
      </c>
      <c r="M19" s="33" t="n">
        <f aca="false">IF(10=8,(CashFlow_20Y!L36/Inputs!$C$35)*(1-Inputs!$C$36),0)</f>
        <v>0</v>
      </c>
      <c r="N19" s="33" t="n">
        <f aca="false">IF(11=8,(CashFlow_20Y!M36/Inputs!$C$35)*(1-Inputs!$C$36),0)</f>
        <v>0</v>
      </c>
      <c r="O19" s="33" t="n">
        <f aca="false">IF(12=8,(CashFlow_20Y!N36/Inputs!$C$35)*(1-Inputs!$C$36),0)</f>
        <v>0</v>
      </c>
      <c r="P19" s="33" t="n">
        <f aca="false">IF(13=8,(CashFlow_20Y!O36/Inputs!$C$35)*(1-Inputs!$C$36),0)</f>
        <v>0</v>
      </c>
      <c r="Q19" s="33" t="n">
        <f aca="false">IF(14=8,(CashFlow_20Y!P36/Inputs!$C$35)*(1-Inputs!$C$36),0)</f>
        <v>0</v>
      </c>
      <c r="R19" s="33" t="n">
        <f aca="false">IF(15=8,(CashFlow_20Y!Q36/Inputs!$C$35)*(1-Inputs!$C$36),0)</f>
        <v>0</v>
      </c>
      <c r="S19" s="33" t="n">
        <f aca="false">IF(16=8,(CashFlow_20Y!R36/Inputs!$C$35)*(1-Inputs!$C$36),0)</f>
        <v>0</v>
      </c>
      <c r="T19" s="33" t="n">
        <f aca="false">IF(17=8,(CashFlow_20Y!S36/Inputs!$C$35)*(1-Inputs!$C$36),0)</f>
        <v>0</v>
      </c>
      <c r="U19" s="33" t="n">
        <f aca="false">IF(18=8,(CashFlow_20Y!T36/Inputs!$C$35)*(1-Inputs!$C$36),0)</f>
        <v>0</v>
      </c>
      <c r="V19" s="33" t="n">
        <f aca="false">IF(19=8,(CashFlow_20Y!U36/Inputs!$C$35)*(1-Inputs!$C$36),0)</f>
        <v>0</v>
      </c>
      <c r="W19" s="33" t="n">
        <f aca="false">IF(20=8,(CashFlow_20Y!V36/Inputs!$C$35)*(1-Inputs!$C$36),0)</f>
        <v>0</v>
      </c>
    </row>
    <row r="20" customFormat="false" ht="15" hidden="false" customHeight="true" outlineLevel="0" collapsed="false">
      <c r="B20" s="34" t="s">
        <v>157</v>
      </c>
      <c r="C20" s="35" t="n">
        <f aca="false">C18</f>
        <v>-42000000</v>
      </c>
      <c r="D20" s="35" t="n">
        <f aca="false">D18+D19</f>
        <v>6257353.41</v>
      </c>
      <c r="E20" s="35" t="n">
        <f aca="false">E18+E19</f>
        <v>8736692.47605</v>
      </c>
      <c r="F20" s="35" t="n">
        <f aca="false">F18+F19</f>
        <v>11448492.2212815</v>
      </c>
      <c r="G20" s="35" t="n">
        <f aca="false">G18+G19</f>
        <v>13316984.7698799</v>
      </c>
      <c r="H20" s="35" t="n">
        <f aca="false">H18+H19</f>
        <v>13890328.1326683</v>
      </c>
      <c r="I20" s="35" t="n">
        <f aca="false">I18+I19</f>
        <v>14486748.3850838</v>
      </c>
      <c r="J20" s="35" t="n">
        <f aca="false">J18+J19</f>
        <v>15107138.3195332</v>
      </c>
      <c r="K20" s="35" t="n">
        <f aca="false">K18+K19</f>
        <v>252879040.823533</v>
      </c>
      <c r="L20" s="35" t="n">
        <f aca="false">L18+L19</f>
        <v>0</v>
      </c>
      <c r="M20" s="35" t="n">
        <f aca="false">M18+M19</f>
        <v>0</v>
      </c>
      <c r="N20" s="35" t="n">
        <f aca="false">N18+N19</f>
        <v>0</v>
      </c>
      <c r="O20" s="35" t="n">
        <f aca="false">O18+O19</f>
        <v>0</v>
      </c>
      <c r="P20" s="35" t="n">
        <f aca="false">P18+P19</f>
        <v>0</v>
      </c>
      <c r="Q20" s="35" t="n">
        <f aca="false">Q18+Q19</f>
        <v>0</v>
      </c>
      <c r="R20" s="35" t="n">
        <f aca="false">R18+R19</f>
        <v>0</v>
      </c>
      <c r="S20" s="35" t="n">
        <f aca="false">S18+S19</f>
        <v>0</v>
      </c>
      <c r="T20" s="35" t="n">
        <f aca="false">T18+T19</f>
        <v>0</v>
      </c>
      <c r="U20" s="35" t="n">
        <f aca="false">U18+U19</f>
        <v>0</v>
      </c>
      <c r="V20" s="35" t="n">
        <f aca="false">V18+V19</f>
        <v>0</v>
      </c>
      <c r="W20" s="35" t="n">
        <f aca="false">W18+W19</f>
        <v>0</v>
      </c>
    </row>
    <row r="21" customFormat="false" ht="15" hidden="false" customHeight="true" outlineLevel="0" collapsed="false">
      <c r="B21" s="36" t="s">
        <v>158</v>
      </c>
      <c r="C21" s="41" t="n">
        <f aca="false">1/(1+Inputs!$C$34)^0</f>
        <v>1</v>
      </c>
      <c r="D21" s="41" t="n">
        <f aca="false">1/(1+Inputs!$C$34)^1</f>
        <v>0.91324200913242</v>
      </c>
      <c r="E21" s="41" t="n">
        <f aca="false">1/(1+Inputs!$C$34)^2</f>
        <v>0.834010967244219</v>
      </c>
      <c r="F21" s="41" t="n">
        <f aca="false">1/(1+Inputs!$C$34)^3</f>
        <v>0.761653851364584</v>
      </c>
      <c r="G21" s="41" t="n">
        <f aca="false">1/(1+Inputs!$C$34)^4</f>
        <v>0.695574293483638</v>
      </c>
      <c r="H21" s="41" t="n">
        <f aca="false">1/(1+Inputs!$C$34)^5</f>
        <v>0.635227665281862</v>
      </c>
      <c r="I21" s="41" t="n">
        <f aca="false">1/(1+Inputs!$C$34)^6</f>
        <v>0.580116589298504</v>
      </c>
      <c r="J21" s="41" t="n">
        <f aca="false">1/(1+Inputs!$C$34)^7</f>
        <v>0.529786839542012</v>
      </c>
      <c r="K21" s="41" t="n">
        <f aca="false">1/(1+Inputs!$C$34)^8</f>
        <v>0.483823597755263</v>
      </c>
      <c r="L21" s="41" t="n">
        <f aca="false">1/(1+Inputs!$C$34)^9</f>
        <v>0.441848034479692</v>
      </c>
      <c r="M21" s="41" t="n">
        <f aca="false">1/(1+Inputs!$C$34)^10</f>
        <v>0.403514186739445</v>
      </c>
      <c r="N21" s="41" t="n">
        <f aca="false">1/(1+Inputs!$C$34)^11</f>
        <v>0.368506106611365</v>
      </c>
      <c r="O21" s="41" t="n">
        <f aca="false">1/(1+Inputs!$C$34)^12</f>
        <v>0.336535257179329</v>
      </c>
      <c r="P21" s="41" t="n">
        <f aca="false">1/(1+Inputs!$C$34)^13</f>
        <v>0.307338134410346</v>
      </c>
      <c r="Q21" s="41" t="n">
        <f aca="false">1/(1+Inputs!$C$34)^14</f>
        <v>0.280674095351914</v>
      </c>
      <c r="R21" s="41" t="n">
        <f aca="false">1/(1+Inputs!$C$34)^15</f>
        <v>0.256323374750606</v>
      </c>
      <c r="S21" s="41" t="n">
        <f aca="false">1/(1+Inputs!$C$34)^16</f>
        <v>0.234085273744846</v>
      </c>
      <c r="T21" s="41" t="n">
        <f aca="false">1/(1+Inputs!$C$34)^17</f>
        <v>0.213776505703056</v>
      </c>
      <c r="U21" s="41" t="n">
        <f aca="false">1/(1+Inputs!$C$34)^18</f>
        <v>0.195229685573567</v>
      </c>
      <c r="V21" s="41" t="n">
        <f aca="false">1/(1+Inputs!$C$34)^19</f>
        <v>0.178291950295495</v>
      </c>
      <c r="W21" s="41" t="n">
        <f aca="false">1/(1+Inputs!$C$34)^20</f>
        <v>0.162823698899995</v>
      </c>
    </row>
    <row r="22" customFormat="false" ht="15" hidden="false" customHeight="true" outlineLevel="0" collapsed="false">
      <c r="B22" s="13" t="s">
        <v>159</v>
      </c>
      <c r="C22" s="33" t="n">
        <f aca="false">C20*C21</f>
        <v>-42000000</v>
      </c>
      <c r="D22" s="33" t="n">
        <f aca="false">D20*D21</f>
        <v>5714478</v>
      </c>
      <c r="E22" s="33" t="n">
        <f aca="false">E20*E21</f>
        <v>7286497.34246576</v>
      </c>
      <c r="F22" s="33" t="n">
        <f aca="false">F20*F21</f>
        <v>8719788.19265653</v>
      </c>
      <c r="G22" s="33" t="n">
        <f aca="false">G20*G21</f>
        <v>9262952.27264161</v>
      </c>
      <c r="H22" s="33" t="n">
        <f aca="false">H20*H21</f>
        <v>8823520.70971383</v>
      </c>
      <c r="I22" s="33" t="n">
        <f aca="false">I20*I21</f>
        <v>8404003.06318039</v>
      </c>
      <c r="J22" s="33" t="n">
        <f aca="false">J20*J21</f>
        <v>8003563.06482952</v>
      </c>
      <c r="K22" s="33" t="n">
        <f aca="false">K20*K21</f>
        <v>122348847.328142</v>
      </c>
      <c r="L22" s="33" t="n">
        <f aca="false">L20*L21</f>
        <v>0</v>
      </c>
      <c r="M22" s="33" t="n">
        <f aca="false">M20*M21</f>
        <v>0</v>
      </c>
      <c r="N22" s="33" t="n">
        <f aca="false">N20*N21</f>
        <v>0</v>
      </c>
      <c r="O22" s="33" t="n">
        <f aca="false">O20*O21</f>
        <v>0</v>
      </c>
      <c r="P22" s="33" t="n">
        <f aca="false">P20*P21</f>
        <v>0</v>
      </c>
      <c r="Q22" s="33" t="n">
        <f aca="false">Q20*Q21</f>
        <v>0</v>
      </c>
      <c r="R22" s="33" t="n">
        <f aca="false">R20*R21</f>
        <v>0</v>
      </c>
      <c r="S22" s="33" t="n">
        <f aca="false">S20*S21</f>
        <v>0</v>
      </c>
      <c r="T22" s="33" t="n">
        <f aca="false">T20*T21</f>
        <v>0</v>
      </c>
      <c r="U22" s="33" t="n">
        <f aca="false">U20*U21</f>
        <v>0</v>
      </c>
      <c r="V22" s="33" t="n">
        <f aca="false">V20*V21</f>
        <v>0</v>
      </c>
      <c r="W22" s="33" t="n">
        <f aca="false">W20*W21</f>
        <v>0</v>
      </c>
    </row>
    <row r="23" customFormat="false" ht="15" hidden="false" customHeight="true" outlineLevel="0" collapsed="false">
      <c r="B23" s="36" t="s">
        <v>160</v>
      </c>
      <c r="C23" s="38" t="n">
        <f aca="false">C20</f>
        <v>-42000000</v>
      </c>
      <c r="D23" s="38" t="n">
        <f aca="false">C23+D20</f>
        <v>-35742646.59</v>
      </c>
      <c r="E23" s="38" t="n">
        <f aca="false">D23+E20</f>
        <v>-27005954.11395</v>
      </c>
      <c r="F23" s="38" t="n">
        <f aca="false">E23+F20</f>
        <v>-15557461.8926685</v>
      </c>
      <c r="G23" s="38" t="n">
        <f aca="false">F23+G20</f>
        <v>-2240477.12278856</v>
      </c>
      <c r="H23" s="38" t="n">
        <f aca="false">G23+H20</f>
        <v>11649851.0098797</v>
      </c>
      <c r="I23" s="38" t="n">
        <f aca="false">H23+I20</f>
        <v>26136599.3949635</v>
      </c>
      <c r="J23" s="38" t="n">
        <f aca="false">I23+J20</f>
        <v>41243737.7144967</v>
      </c>
      <c r="K23" s="38" t="n">
        <f aca="false">J23+K20</f>
        <v>294122778.53803</v>
      </c>
      <c r="L23" s="38" t="n">
        <f aca="false">K23+L20</f>
        <v>294122778.53803</v>
      </c>
      <c r="M23" s="38" t="n">
        <f aca="false">L23+M20</f>
        <v>294122778.53803</v>
      </c>
      <c r="N23" s="38" t="n">
        <f aca="false">M23+N20</f>
        <v>294122778.53803</v>
      </c>
      <c r="O23" s="38" t="n">
        <f aca="false">N23+O20</f>
        <v>294122778.53803</v>
      </c>
      <c r="P23" s="38" t="n">
        <f aca="false">O23+P20</f>
        <v>294122778.53803</v>
      </c>
      <c r="Q23" s="38" t="n">
        <f aca="false">P23+Q20</f>
        <v>294122778.53803</v>
      </c>
      <c r="R23" s="38" t="n">
        <f aca="false">Q23+R20</f>
        <v>294122778.53803</v>
      </c>
      <c r="S23" s="38" t="n">
        <f aca="false">R23+S20</f>
        <v>294122778.53803</v>
      </c>
      <c r="T23" s="38" t="n">
        <f aca="false">S23+T20</f>
        <v>294122778.53803</v>
      </c>
      <c r="U23" s="38" t="n">
        <f aca="false">T23+U20</f>
        <v>294122778.53803</v>
      </c>
      <c r="V23" s="38" t="n">
        <f aca="false">U23+V20</f>
        <v>294122778.53803</v>
      </c>
      <c r="W23" s="38" t="n">
        <f aca="false">V23+W20</f>
        <v>294122778.53803</v>
      </c>
    </row>
    <row r="24" customFormat="false" ht="15" hidden="false" customHeight="true" outlineLevel="0" collapsed="false">
      <c r="B24" s="18" t="s">
        <v>161</v>
      </c>
      <c r="C24" s="42" t="n">
        <f aca="false">SUM(C22:W22)</f>
        <v>136563649.973629</v>
      </c>
    </row>
    <row r="25" customFormat="false" ht="15" hidden="false" customHeight="true" outlineLevel="0" collapsed="false">
      <c r="B25" s="18" t="s">
        <v>162</v>
      </c>
      <c r="C25" s="43" t="n">
        <f aca="false">IRR(C20:W20)</f>
        <v>0.385010042604358</v>
      </c>
    </row>
    <row r="26" customFormat="false" ht="15" hidden="false" customHeight="true" outlineLevel="0" collapsed="false">
      <c r="B26" s="13" t="s">
        <v>163</v>
      </c>
      <c r="C26" s="44" t="n">
        <f aca="false">SUMIF(C20:W20,"&gt;0")/(-C20)</f>
        <v>8.00292329852453</v>
      </c>
    </row>
    <row r="27" customFormat="false" ht="15" hidden="false" customHeight="true" outlineLevel="0" collapsed="false">
      <c r="B27" s="12" t="s">
        <v>165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</row>
    <row r="28" customFormat="false" ht="15" hidden="false" customHeight="true" outlineLevel="0" collapsed="false">
      <c r="B28" s="39" t="s">
        <v>133</v>
      </c>
      <c r="C28" s="30" t="s">
        <v>134</v>
      </c>
      <c r="D28" s="30" t="s">
        <v>135</v>
      </c>
      <c r="E28" s="30" t="s">
        <v>136</v>
      </c>
      <c r="F28" s="30" t="s">
        <v>137</v>
      </c>
      <c r="G28" s="30" t="s">
        <v>138</v>
      </c>
      <c r="H28" s="30" t="s">
        <v>139</v>
      </c>
      <c r="I28" s="30" t="s">
        <v>140</v>
      </c>
      <c r="J28" s="30" t="s">
        <v>141</v>
      </c>
      <c r="K28" s="30" t="s">
        <v>142</v>
      </c>
      <c r="L28" s="30" t="s">
        <v>143</v>
      </c>
      <c r="M28" s="30" t="s">
        <v>144</v>
      </c>
      <c r="N28" s="30" t="s">
        <v>145</v>
      </c>
      <c r="O28" s="30" t="s">
        <v>146</v>
      </c>
      <c r="P28" s="30" t="s">
        <v>147</v>
      </c>
      <c r="Q28" s="30" t="s">
        <v>148</v>
      </c>
      <c r="R28" s="30" t="s">
        <v>149</v>
      </c>
      <c r="S28" s="30" t="s">
        <v>150</v>
      </c>
      <c r="T28" s="30" t="s">
        <v>151</v>
      </c>
      <c r="U28" s="30" t="s">
        <v>152</v>
      </c>
      <c r="V28" s="30" t="s">
        <v>153</v>
      </c>
      <c r="W28" s="30" t="s">
        <v>154</v>
      </c>
    </row>
    <row r="29" customFormat="false" ht="15" hidden="false" customHeight="true" outlineLevel="0" collapsed="false">
      <c r="B29" s="13" t="s">
        <v>155</v>
      </c>
      <c r="C29" s="40" t="n">
        <f aca="false">-Inputs!$C$33</f>
        <v>-42000000</v>
      </c>
      <c r="D29" s="33" t="n">
        <f aca="false">IF(1&lt;=10,CashFlow_20Y!C34,0)</f>
        <v>6257353.41</v>
      </c>
      <c r="E29" s="33" t="n">
        <f aca="false">IF(2&lt;=10,CashFlow_20Y!D34,0)</f>
        <v>8736692.47605</v>
      </c>
      <c r="F29" s="33" t="n">
        <f aca="false">IF(3&lt;=10,CashFlow_20Y!E34,0)</f>
        <v>11448492.2212815</v>
      </c>
      <c r="G29" s="33" t="n">
        <f aca="false">IF(4&lt;=10,CashFlow_20Y!F34,0)</f>
        <v>13316984.7698799</v>
      </c>
      <c r="H29" s="33" t="n">
        <f aca="false">IF(5&lt;=10,CashFlow_20Y!G34,0)</f>
        <v>13890328.1326683</v>
      </c>
      <c r="I29" s="33" t="n">
        <f aca="false">IF(6&lt;=10,CashFlow_20Y!H34,0)</f>
        <v>14486748.3850838</v>
      </c>
      <c r="J29" s="33" t="n">
        <f aca="false">IF(7&lt;=10,CashFlow_20Y!I34,0)</f>
        <v>15107138.3195332</v>
      </c>
      <c r="K29" s="33" t="n">
        <f aca="false">IF(8&lt;=10,CashFlow_20Y!J34,0)</f>
        <v>10214223.9085933</v>
      </c>
      <c r="L29" s="33" t="n">
        <f aca="false">IF(9&lt;=10,CashFlow_20Y!K34,0)</f>
        <v>16423568.0059498</v>
      </c>
      <c r="M29" s="33" t="n">
        <f aca="false">IF(10&lt;=10,CashFlow_20Y!L34,0)</f>
        <v>17121566.7339437</v>
      </c>
      <c r="N29" s="33" t="n">
        <f aca="false">IF(11&lt;=10,CashFlow_20Y!M34,0)</f>
        <v>0</v>
      </c>
      <c r="O29" s="33" t="n">
        <f aca="false">IF(12&lt;=10,CashFlow_20Y!N34,0)</f>
        <v>0</v>
      </c>
      <c r="P29" s="33" t="n">
        <f aca="false">IF(13&lt;=10,CashFlow_20Y!O34,0)</f>
        <v>0</v>
      </c>
      <c r="Q29" s="33" t="n">
        <f aca="false">IF(14&lt;=10,CashFlow_20Y!P34,0)</f>
        <v>0</v>
      </c>
      <c r="R29" s="33" t="n">
        <f aca="false">IF(15&lt;=10,CashFlow_20Y!Q34,0)</f>
        <v>0</v>
      </c>
      <c r="S29" s="33" t="n">
        <f aca="false">IF(16&lt;=10,CashFlow_20Y!R34,0)</f>
        <v>0</v>
      </c>
      <c r="T29" s="33" t="n">
        <f aca="false">IF(17&lt;=10,CashFlow_20Y!S34,0)</f>
        <v>0</v>
      </c>
      <c r="U29" s="33" t="n">
        <f aca="false">IF(18&lt;=10,CashFlow_20Y!T34,0)</f>
        <v>0</v>
      </c>
      <c r="V29" s="33" t="n">
        <f aca="false">IF(19&lt;=10,CashFlow_20Y!U34,0)</f>
        <v>0</v>
      </c>
      <c r="W29" s="33" t="n">
        <f aca="false">IF(20&lt;=10,CashFlow_20Y!V34,0)</f>
        <v>0</v>
      </c>
    </row>
    <row r="30" customFormat="false" ht="15" hidden="false" customHeight="true" outlineLevel="0" collapsed="false">
      <c r="B30" s="13" t="s">
        <v>156</v>
      </c>
      <c r="D30" s="33" t="n">
        <f aca="false">IF(1=10,(CashFlow_20Y!C36/Inputs!$C$35)*(1-Inputs!$C$36),0)</f>
        <v>0</v>
      </c>
      <c r="E30" s="33" t="n">
        <f aca="false">IF(2=10,(CashFlow_20Y!D36/Inputs!$C$35)*(1-Inputs!$C$36),0)</f>
        <v>0</v>
      </c>
      <c r="F30" s="33" t="n">
        <f aca="false">IF(3=10,(CashFlow_20Y!E36/Inputs!$C$35)*(1-Inputs!$C$36),0)</f>
        <v>0</v>
      </c>
      <c r="G30" s="33" t="n">
        <f aca="false">IF(4=10,(CashFlow_20Y!F36/Inputs!$C$35)*(1-Inputs!$C$36),0)</f>
        <v>0</v>
      </c>
      <c r="H30" s="33" t="n">
        <f aca="false">IF(5=10,(CashFlow_20Y!G36/Inputs!$C$35)*(1-Inputs!$C$36),0)</f>
        <v>0</v>
      </c>
      <c r="I30" s="33" t="n">
        <f aca="false">IF(6=10,(CashFlow_20Y!H36/Inputs!$C$35)*(1-Inputs!$C$36),0)</f>
        <v>0</v>
      </c>
      <c r="J30" s="33" t="n">
        <f aca="false">IF(7=10,(CashFlow_20Y!I36/Inputs!$C$35)*(1-Inputs!$C$36),0)</f>
        <v>0</v>
      </c>
      <c r="K30" s="33" t="n">
        <f aca="false">IF(8=10,(CashFlow_20Y!J36/Inputs!$C$35)*(1-Inputs!$C$36),0)</f>
        <v>0</v>
      </c>
      <c r="L30" s="33" t="n">
        <f aca="false">IF(9=10,(CashFlow_20Y!K36/Inputs!$C$35)*(1-Inputs!$C$36),0)</f>
        <v>0</v>
      </c>
      <c r="M30" s="33" t="n">
        <f aca="false">IF(10=10,(CashFlow_20Y!L36/Inputs!$C$35)*(1-Inputs!$C$36),0)</f>
        <v>263219219.344266</v>
      </c>
      <c r="N30" s="33" t="n">
        <f aca="false">IF(11=10,(CashFlow_20Y!M36/Inputs!$C$35)*(1-Inputs!$C$36),0)</f>
        <v>0</v>
      </c>
      <c r="O30" s="33" t="n">
        <f aca="false">IF(12=10,(CashFlow_20Y!N36/Inputs!$C$35)*(1-Inputs!$C$36),0)</f>
        <v>0</v>
      </c>
      <c r="P30" s="33" t="n">
        <f aca="false">IF(13=10,(CashFlow_20Y!O36/Inputs!$C$35)*(1-Inputs!$C$36),0)</f>
        <v>0</v>
      </c>
      <c r="Q30" s="33" t="n">
        <f aca="false">IF(14=10,(CashFlow_20Y!P36/Inputs!$C$35)*(1-Inputs!$C$36),0)</f>
        <v>0</v>
      </c>
      <c r="R30" s="33" t="n">
        <f aca="false">IF(15=10,(CashFlow_20Y!Q36/Inputs!$C$35)*(1-Inputs!$C$36),0)</f>
        <v>0</v>
      </c>
      <c r="S30" s="33" t="n">
        <f aca="false">IF(16=10,(CashFlow_20Y!R36/Inputs!$C$35)*(1-Inputs!$C$36),0)</f>
        <v>0</v>
      </c>
      <c r="T30" s="33" t="n">
        <f aca="false">IF(17=10,(CashFlow_20Y!S36/Inputs!$C$35)*(1-Inputs!$C$36),0)</f>
        <v>0</v>
      </c>
      <c r="U30" s="33" t="n">
        <f aca="false">IF(18=10,(CashFlow_20Y!T36/Inputs!$C$35)*(1-Inputs!$C$36),0)</f>
        <v>0</v>
      </c>
      <c r="V30" s="33" t="n">
        <f aca="false">IF(19=10,(CashFlow_20Y!U36/Inputs!$C$35)*(1-Inputs!$C$36),0)</f>
        <v>0</v>
      </c>
      <c r="W30" s="33" t="n">
        <f aca="false">IF(20=10,(CashFlow_20Y!V36/Inputs!$C$35)*(1-Inputs!$C$36),0)</f>
        <v>0</v>
      </c>
    </row>
    <row r="31" customFormat="false" ht="15" hidden="false" customHeight="true" outlineLevel="0" collapsed="false">
      <c r="B31" s="34" t="s">
        <v>157</v>
      </c>
      <c r="C31" s="35" t="n">
        <f aca="false">C29</f>
        <v>-42000000</v>
      </c>
      <c r="D31" s="35" t="n">
        <f aca="false">D29+D30</f>
        <v>6257353.41</v>
      </c>
      <c r="E31" s="35" t="n">
        <f aca="false">E29+E30</f>
        <v>8736692.47605</v>
      </c>
      <c r="F31" s="35" t="n">
        <f aca="false">F29+F30</f>
        <v>11448492.2212815</v>
      </c>
      <c r="G31" s="35" t="n">
        <f aca="false">G29+G30</f>
        <v>13316984.7698799</v>
      </c>
      <c r="H31" s="35" t="n">
        <f aca="false">H29+H30</f>
        <v>13890328.1326683</v>
      </c>
      <c r="I31" s="35" t="n">
        <f aca="false">I29+I30</f>
        <v>14486748.3850838</v>
      </c>
      <c r="J31" s="35" t="n">
        <f aca="false">J29+J30</f>
        <v>15107138.3195332</v>
      </c>
      <c r="K31" s="35" t="n">
        <f aca="false">K29+K30</f>
        <v>10214223.9085933</v>
      </c>
      <c r="L31" s="35" t="n">
        <f aca="false">L29+L30</f>
        <v>16423568.0059498</v>
      </c>
      <c r="M31" s="35" t="n">
        <f aca="false">M29+M30</f>
        <v>280340786.07821</v>
      </c>
      <c r="N31" s="35" t="n">
        <f aca="false">N29+N30</f>
        <v>0</v>
      </c>
      <c r="O31" s="35" t="n">
        <f aca="false">O29+O30</f>
        <v>0</v>
      </c>
      <c r="P31" s="35" t="n">
        <f aca="false">P29+P30</f>
        <v>0</v>
      </c>
      <c r="Q31" s="35" t="n">
        <f aca="false">Q29+Q30</f>
        <v>0</v>
      </c>
      <c r="R31" s="35" t="n">
        <f aca="false">R29+R30</f>
        <v>0</v>
      </c>
      <c r="S31" s="35" t="n">
        <f aca="false">S29+S30</f>
        <v>0</v>
      </c>
      <c r="T31" s="35" t="n">
        <f aca="false">T29+T30</f>
        <v>0</v>
      </c>
      <c r="U31" s="35" t="n">
        <f aca="false">U29+U30</f>
        <v>0</v>
      </c>
      <c r="V31" s="35" t="n">
        <f aca="false">V29+V30</f>
        <v>0</v>
      </c>
      <c r="W31" s="35" t="n">
        <f aca="false">W29+W30</f>
        <v>0</v>
      </c>
    </row>
    <row r="32" customFormat="false" ht="15" hidden="false" customHeight="true" outlineLevel="0" collapsed="false">
      <c r="B32" s="36" t="s">
        <v>158</v>
      </c>
      <c r="C32" s="41" t="n">
        <f aca="false">1/(1+Inputs!$C$34)^0</f>
        <v>1</v>
      </c>
      <c r="D32" s="41" t="n">
        <f aca="false">1/(1+Inputs!$C$34)^1</f>
        <v>0.91324200913242</v>
      </c>
      <c r="E32" s="41" t="n">
        <f aca="false">1/(1+Inputs!$C$34)^2</f>
        <v>0.834010967244219</v>
      </c>
      <c r="F32" s="41" t="n">
        <f aca="false">1/(1+Inputs!$C$34)^3</f>
        <v>0.761653851364584</v>
      </c>
      <c r="G32" s="41" t="n">
        <f aca="false">1/(1+Inputs!$C$34)^4</f>
        <v>0.695574293483638</v>
      </c>
      <c r="H32" s="41" t="n">
        <f aca="false">1/(1+Inputs!$C$34)^5</f>
        <v>0.635227665281862</v>
      </c>
      <c r="I32" s="41" t="n">
        <f aca="false">1/(1+Inputs!$C$34)^6</f>
        <v>0.580116589298504</v>
      </c>
      <c r="J32" s="41" t="n">
        <f aca="false">1/(1+Inputs!$C$34)^7</f>
        <v>0.529786839542012</v>
      </c>
      <c r="K32" s="41" t="n">
        <f aca="false">1/(1+Inputs!$C$34)^8</f>
        <v>0.483823597755263</v>
      </c>
      <c r="L32" s="41" t="n">
        <f aca="false">1/(1+Inputs!$C$34)^9</f>
        <v>0.441848034479692</v>
      </c>
      <c r="M32" s="41" t="n">
        <f aca="false">1/(1+Inputs!$C$34)^10</f>
        <v>0.403514186739445</v>
      </c>
      <c r="N32" s="41" t="n">
        <f aca="false">1/(1+Inputs!$C$34)^11</f>
        <v>0.368506106611365</v>
      </c>
      <c r="O32" s="41" t="n">
        <f aca="false">1/(1+Inputs!$C$34)^12</f>
        <v>0.336535257179329</v>
      </c>
      <c r="P32" s="41" t="n">
        <f aca="false">1/(1+Inputs!$C$34)^13</f>
        <v>0.307338134410346</v>
      </c>
      <c r="Q32" s="41" t="n">
        <f aca="false">1/(1+Inputs!$C$34)^14</f>
        <v>0.280674095351914</v>
      </c>
      <c r="R32" s="41" t="n">
        <f aca="false">1/(1+Inputs!$C$34)^15</f>
        <v>0.256323374750606</v>
      </c>
      <c r="S32" s="41" t="n">
        <f aca="false">1/(1+Inputs!$C$34)^16</f>
        <v>0.234085273744846</v>
      </c>
      <c r="T32" s="41" t="n">
        <f aca="false">1/(1+Inputs!$C$34)^17</f>
        <v>0.213776505703056</v>
      </c>
      <c r="U32" s="41" t="n">
        <f aca="false">1/(1+Inputs!$C$34)^18</f>
        <v>0.195229685573567</v>
      </c>
      <c r="V32" s="41" t="n">
        <f aca="false">1/(1+Inputs!$C$34)^19</f>
        <v>0.178291950295495</v>
      </c>
      <c r="W32" s="41" t="n">
        <f aca="false">1/(1+Inputs!$C$34)^20</f>
        <v>0.162823698899995</v>
      </c>
    </row>
    <row r="33" customFormat="false" ht="15" hidden="false" customHeight="true" outlineLevel="0" collapsed="false">
      <c r="B33" s="13" t="s">
        <v>159</v>
      </c>
      <c r="C33" s="33" t="n">
        <f aca="false">C31*C32</f>
        <v>-42000000</v>
      </c>
      <c r="D33" s="33" t="n">
        <f aca="false">D31*D32</f>
        <v>5714478</v>
      </c>
      <c r="E33" s="33" t="n">
        <f aca="false">E31*E32</f>
        <v>7286497.34246576</v>
      </c>
      <c r="F33" s="33" t="n">
        <f aca="false">F31*F32</f>
        <v>8719788.19265653</v>
      </c>
      <c r="G33" s="33" t="n">
        <f aca="false">G31*G32</f>
        <v>9262952.27264161</v>
      </c>
      <c r="H33" s="33" t="n">
        <f aca="false">H31*H32</f>
        <v>8823520.70971383</v>
      </c>
      <c r="I33" s="33" t="n">
        <f aca="false">I31*I32</f>
        <v>8404003.06318039</v>
      </c>
      <c r="J33" s="33" t="n">
        <f aca="false">J31*J32</f>
        <v>8003563.06482952</v>
      </c>
      <c r="K33" s="33" t="n">
        <f aca="false">K31*K32</f>
        <v>4941882.55973341</v>
      </c>
      <c r="L33" s="33" t="n">
        <f aca="false">L31*L32</f>
        <v>7256721.24257248</v>
      </c>
      <c r="M33" s="33" t="n">
        <f aca="false">M31*M32</f>
        <v>113121484.304245</v>
      </c>
      <c r="N33" s="33" t="n">
        <f aca="false">N31*N32</f>
        <v>0</v>
      </c>
      <c r="O33" s="33" t="n">
        <f aca="false">O31*O32</f>
        <v>0</v>
      </c>
      <c r="P33" s="33" t="n">
        <f aca="false">P31*P32</f>
        <v>0</v>
      </c>
      <c r="Q33" s="33" t="n">
        <f aca="false">Q31*Q32</f>
        <v>0</v>
      </c>
      <c r="R33" s="33" t="n">
        <f aca="false">R31*R32</f>
        <v>0</v>
      </c>
      <c r="S33" s="33" t="n">
        <f aca="false">S31*S32</f>
        <v>0</v>
      </c>
      <c r="T33" s="33" t="n">
        <f aca="false">T31*T32</f>
        <v>0</v>
      </c>
      <c r="U33" s="33" t="n">
        <f aca="false">U31*U32</f>
        <v>0</v>
      </c>
      <c r="V33" s="33" t="n">
        <f aca="false">V31*V32</f>
        <v>0</v>
      </c>
      <c r="W33" s="33" t="n">
        <f aca="false">W31*W32</f>
        <v>0</v>
      </c>
    </row>
    <row r="34" customFormat="false" ht="15" hidden="false" customHeight="true" outlineLevel="0" collapsed="false">
      <c r="B34" s="36" t="s">
        <v>160</v>
      </c>
      <c r="C34" s="38" t="n">
        <f aca="false">C31</f>
        <v>-42000000</v>
      </c>
      <c r="D34" s="38" t="n">
        <f aca="false">C34+D31</f>
        <v>-35742646.59</v>
      </c>
      <c r="E34" s="38" t="n">
        <f aca="false">D34+E31</f>
        <v>-27005954.11395</v>
      </c>
      <c r="F34" s="38" t="n">
        <f aca="false">E34+F31</f>
        <v>-15557461.8926685</v>
      </c>
      <c r="G34" s="38" t="n">
        <f aca="false">F34+G31</f>
        <v>-2240477.12278856</v>
      </c>
      <c r="H34" s="38" t="n">
        <f aca="false">G34+H31</f>
        <v>11649851.0098797</v>
      </c>
      <c r="I34" s="38" t="n">
        <f aca="false">H34+I31</f>
        <v>26136599.3949635</v>
      </c>
      <c r="J34" s="38" t="n">
        <f aca="false">I34+J31</f>
        <v>41243737.7144967</v>
      </c>
      <c r="K34" s="38" t="n">
        <f aca="false">J34+K31</f>
        <v>51457961.6230899</v>
      </c>
      <c r="L34" s="38" t="n">
        <f aca="false">K34+L31</f>
        <v>67881529.6290398</v>
      </c>
      <c r="M34" s="38" t="n">
        <f aca="false">L34+M31</f>
        <v>348222315.70725</v>
      </c>
      <c r="N34" s="38" t="n">
        <f aca="false">M34+N31</f>
        <v>348222315.70725</v>
      </c>
      <c r="O34" s="38" t="n">
        <f aca="false">N34+O31</f>
        <v>348222315.70725</v>
      </c>
      <c r="P34" s="38" t="n">
        <f aca="false">O34+P31</f>
        <v>348222315.70725</v>
      </c>
      <c r="Q34" s="38" t="n">
        <f aca="false">P34+Q31</f>
        <v>348222315.70725</v>
      </c>
      <c r="R34" s="38" t="n">
        <f aca="false">Q34+R31</f>
        <v>348222315.70725</v>
      </c>
      <c r="S34" s="38" t="n">
        <f aca="false">R34+S31</f>
        <v>348222315.70725</v>
      </c>
      <c r="T34" s="38" t="n">
        <f aca="false">S34+T31</f>
        <v>348222315.70725</v>
      </c>
      <c r="U34" s="38" t="n">
        <f aca="false">T34+U31</f>
        <v>348222315.70725</v>
      </c>
      <c r="V34" s="38" t="n">
        <f aca="false">U34+V31</f>
        <v>348222315.70725</v>
      </c>
      <c r="W34" s="38" t="n">
        <f aca="false">V34+W31</f>
        <v>348222315.70725</v>
      </c>
    </row>
    <row r="35" customFormat="false" ht="15" hidden="false" customHeight="true" outlineLevel="0" collapsed="false">
      <c r="B35" s="18" t="s">
        <v>161</v>
      </c>
      <c r="C35" s="42" t="n">
        <f aca="false">SUM(C33:W33)</f>
        <v>139534890.752039</v>
      </c>
    </row>
    <row r="36" customFormat="false" ht="15" hidden="false" customHeight="true" outlineLevel="0" collapsed="false">
      <c r="B36" s="18" t="s">
        <v>162</v>
      </c>
      <c r="C36" s="43" t="n">
        <f aca="false">IRR(C31:W31)</f>
        <v>0.346724661035933</v>
      </c>
    </row>
    <row r="37" customFormat="false" ht="15" hidden="false" customHeight="true" outlineLevel="0" collapsed="false">
      <c r="B37" s="13" t="s">
        <v>163</v>
      </c>
      <c r="C37" s="44" t="n">
        <f aca="false">SUMIF(C31:W31,"&gt;0")/(-C31)</f>
        <v>9.29100751683928</v>
      </c>
    </row>
    <row r="38" customFormat="false" ht="15" hidden="false" customHeight="true" outlineLevel="0" collapsed="false">
      <c r="B38" s="12" t="s">
        <v>166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39" customFormat="false" ht="15" hidden="false" customHeight="true" outlineLevel="0" collapsed="false">
      <c r="B39" s="39" t="s">
        <v>133</v>
      </c>
      <c r="C39" s="30" t="s">
        <v>134</v>
      </c>
      <c r="D39" s="30" t="s">
        <v>135</v>
      </c>
      <c r="E39" s="30" t="s">
        <v>136</v>
      </c>
      <c r="F39" s="30" t="s">
        <v>137</v>
      </c>
      <c r="G39" s="30" t="s">
        <v>138</v>
      </c>
      <c r="H39" s="30" t="s">
        <v>139</v>
      </c>
      <c r="I39" s="30" t="s">
        <v>140</v>
      </c>
      <c r="J39" s="30" t="s">
        <v>141</v>
      </c>
      <c r="K39" s="30" t="s">
        <v>142</v>
      </c>
      <c r="L39" s="30" t="s">
        <v>143</v>
      </c>
      <c r="M39" s="30" t="s">
        <v>144</v>
      </c>
      <c r="N39" s="30" t="s">
        <v>145</v>
      </c>
      <c r="O39" s="30" t="s">
        <v>146</v>
      </c>
      <c r="P39" s="30" t="s">
        <v>147</v>
      </c>
      <c r="Q39" s="30" t="s">
        <v>148</v>
      </c>
      <c r="R39" s="30" t="s">
        <v>149</v>
      </c>
      <c r="S39" s="30" t="s">
        <v>150</v>
      </c>
      <c r="T39" s="30" t="s">
        <v>151</v>
      </c>
      <c r="U39" s="30" t="s">
        <v>152</v>
      </c>
      <c r="V39" s="30" t="s">
        <v>153</v>
      </c>
      <c r="W39" s="30" t="s">
        <v>154</v>
      </c>
    </row>
    <row r="40" customFormat="false" ht="15" hidden="false" customHeight="true" outlineLevel="0" collapsed="false">
      <c r="B40" s="13" t="s">
        <v>155</v>
      </c>
      <c r="C40" s="40" t="n">
        <f aca="false">-Inputs!$C$33</f>
        <v>-42000000</v>
      </c>
      <c r="D40" s="33" t="n">
        <f aca="false">IF(1&lt;=12,CashFlow_20Y!C34,0)</f>
        <v>6257353.41</v>
      </c>
      <c r="E40" s="33" t="n">
        <f aca="false">IF(2&lt;=12,CashFlow_20Y!D34,0)</f>
        <v>8736692.47605</v>
      </c>
      <c r="F40" s="33" t="n">
        <f aca="false">IF(3&lt;=12,CashFlow_20Y!E34,0)</f>
        <v>11448492.2212815</v>
      </c>
      <c r="G40" s="33" t="n">
        <f aca="false">IF(4&lt;=12,CashFlow_20Y!F34,0)</f>
        <v>13316984.7698799</v>
      </c>
      <c r="H40" s="33" t="n">
        <f aca="false">IF(5&lt;=12,CashFlow_20Y!G34,0)</f>
        <v>13890328.1326683</v>
      </c>
      <c r="I40" s="33" t="n">
        <f aca="false">IF(6&lt;=12,CashFlow_20Y!H34,0)</f>
        <v>14486748.3850838</v>
      </c>
      <c r="J40" s="33" t="n">
        <f aca="false">IF(7&lt;=12,CashFlow_20Y!I34,0)</f>
        <v>15107138.3195332</v>
      </c>
      <c r="K40" s="33" t="n">
        <f aca="false">IF(8&lt;=12,CashFlow_20Y!J34,0)</f>
        <v>10214223.9085933</v>
      </c>
      <c r="L40" s="33" t="n">
        <f aca="false">IF(9&lt;=12,CashFlow_20Y!K34,0)</f>
        <v>16423568.0059498</v>
      </c>
      <c r="M40" s="33" t="n">
        <f aca="false">IF(10&lt;=12,CashFlow_20Y!L34,0)</f>
        <v>17121566.7339437</v>
      </c>
      <c r="N40" s="33" t="n">
        <f aca="false">IF(11&lt;=12,CashFlow_20Y!M34,0)</f>
        <v>17847455.7305484</v>
      </c>
      <c r="O40" s="33" t="n">
        <f aca="false">IF(12&lt;=12,CashFlow_20Y!N34,0)</f>
        <v>18602309.0863277</v>
      </c>
      <c r="P40" s="33" t="n">
        <f aca="false">IF(13&lt;=12,CashFlow_20Y!O34,0)</f>
        <v>0</v>
      </c>
      <c r="Q40" s="33" t="n">
        <f aca="false">IF(14&lt;=12,CashFlow_20Y!P34,0)</f>
        <v>0</v>
      </c>
      <c r="R40" s="33" t="n">
        <f aca="false">IF(15&lt;=12,CashFlow_20Y!Q34,0)</f>
        <v>0</v>
      </c>
      <c r="S40" s="33" t="n">
        <f aca="false">IF(16&lt;=12,CashFlow_20Y!R34,0)</f>
        <v>0</v>
      </c>
      <c r="T40" s="33" t="n">
        <f aca="false">IF(17&lt;=12,CashFlow_20Y!S34,0)</f>
        <v>0</v>
      </c>
      <c r="U40" s="33" t="n">
        <f aca="false">IF(18&lt;=12,CashFlow_20Y!T34,0)</f>
        <v>0</v>
      </c>
      <c r="V40" s="33" t="n">
        <f aca="false">IF(19&lt;=12,CashFlow_20Y!U34,0)</f>
        <v>0</v>
      </c>
      <c r="W40" s="33" t="n">
        <f aca="false">IF(20&lt;=12,CashFlow_20Y!V34,0)</f>
        <v>0</v>
      </c>
    </row>
    <row r="41" customFormat="false" ht="15" hidden="false" customHeight="true" outlineLevel="0" collapsed="false">
      <c r="B41" s="13" t="s">
        <v>156</v>
      </c>
      <c r="D41" s="33" t="n">
        <f aca="false">IF(1=12,(CashFlow_20Y!C36/Inputs!$C$35)*(1-Inputs!$C$36),0)</f>
        <v>0</v>
      </c>
      <c r="E41" s="33" t="n">
        <f aca="false">IF(2=12,(CashFlow_20Y!D36/Inputs!$C$35)*(1-Inputs!$C$36),0)</f>
        <v>0</v>
      </c>
      <c r="F41" s="33" t="n">
        <f aca="false">IF(3=12,(CashFlow_20Y!E36/Inputs!$C$35)*(1-Inputs!$C$36),0)</f>
        <v>0</v>
      </c>
      <c r="G41" s="33" t="n">
        <f aca="false">IF(4=12,(CashFlow_20Y!F36/Inputs!$C$35)*(1-Inputs!$C$36),0)</f>
        <v>0</v>
      </c>
      <c r="H41" s="33" t="n">
        <f aca="false">IF(5=12,(CashFlow_20Y!G36/Inputs!$C$35)*(1-Inputs!$C$36),0)</f>
        <v>0</v>
      </c>
      <c r="I41" s="33" t="n">
        <f aca="false">IF(6=12,(CashFlow_20Y!H36/Inputs!$C$35)*(1-Inputs!$C$36),0)</f>
        <v>0</v>
      </c>
      <c r="J41" s="33" t="n">
        <f aca="false">IF(7=12,(CashFlow_20Y!I36/Inputs!$C$35)*(1-Inputs!$C$36),0)</f>
        <v>0</v>
      </c>
      <c r="K41" s="33" t="n">
        <f aca="false">IF(8=12,(CashFlow_20Y!J36/Inputs!$C$35)*(1-Inputs!$C$36),0)</f>
        <v>0</v>
      </c>
      <c r="L41" s="33" t="n">
        <f aca="false">IF(9=12,(CashFlow_20Y!K36/Inputs!$C$35)*(1-Inputs!$C$36),0)</f>
        <v>0</v>
      </c>
      <c r="M41" s="33" t="n">
        <f aca="false">IF(10=12,(CashFlow_20Y!L36/Inputs!$C$35)*(1-Inputs!$C$36),0)</f>
        <v>0</v>
      </c>
      <c r="N41" s="33" t="n">
        <f aca="false">IF(11=12,(CashFlow_20Y!M36/Inputs!$C$35)*(1-Inputs!$C$36),0)</f>
        <v>0</v>
      </c>
      <c r="O41" s="33" t="n">
        <f aca="false">IF(12=12,(CashFlow_20Y!N36/Inputs!$C$35)*(1-Inputs!$C$36),0)</f>
        <v>285423794.723917</v>
      </c>
      <c r="P41" s="33" t="n">
        <f aca="false">IF(13=12,(CashFlow_20Y!O36/Inputs!$C$35)*(1-Inputs!$C$36),0)</f>
        <v>0</v>
      </c>
      <c r="Q41" s="33" t="n">
        <f aca="false">IF(14=12,(CashFlow_20Y!P36/Inputs!$C$35)*(1-Inputs!$C$36),0)</f>
        <v>0</v>
      </c>
      <c r="R41" s="33" t="n">
        <f aca="false">IF(15=12,(CashFlow_20Y!Q36/Inputs!$C$35)*(1-Inputs!$C$36),0)</f>
        <v>0</v>
      </c>
      <c r="S41" s="33" t="n">
        <f aca="false">IF(16=12,(CashFlow_20Y!R36/Inputs!$C$35)*(1-Inputs!$C$36),0)</f>
        <v>0</v>
      </c>
      <c r="T41" s="33" t="n">
        <f aca="false">IF(17=12,(CashFlow_20Y!S36/Inputs!$C$35)*(1-Inputs!$C$36),0)</f>
        <v>0</v>
      </c>
      <c r="U41" s="33" t="n">
        <f aca="false">IF(18=12,(CashFlow_20Y!T36/Inputs!$C$35)*(1-Inputs!$C$36),0)</f>
        <v>0</v>
      </c>
      <c r="V41" s="33" t="n">
        <f aca="false">IF(19=12,(CashFlow_20Y!U36/Inputs!$C$35)*(1-Inputs!$C$36),0)</f>
        <v>0</v>
      </c>
      <c r="W41" s="33" t="n">
        <f aca="false">IF(20=12,(CashFlow_20Y!V36/Inputs!$C$35)*(1-Inputs!$C$36),0)</f>
        <v>0</v>
      </c>
    </row>
    <row r="42" customFormat="false" ht="15" hidden="false" customHeight="true" outlineLevel="0" collapsed="false">
      <c r="B42" s="34" t="s">
        <v>157</v>
      </c>
      <c r="C42" s="35" t="n">
        <f aca="false">C40</f>
        <v>-42000000</v>
      </c>
      <c r="D42" s="35" t="n">
        <f aca="false">D40+D41</f>
        <v>6257353.41</v>
      </c>
      <c r="E42" s="35" t="n">
        <f aca="false">E40+E41</f>
        <v>8736692.47605</v>
      </c>
      <c r="F42" s="35" t="n">
        <f aca="false">F40+F41</f>
        <v>11448492.2212815</v>
      </c>
      <c r="G42" s="35" t="n">
        <f aca="false">G40+G41</f>
        <v>13316984.7698799</v>
      </c>
      <c r="H42" s="35" t="n">
        <f aca="false">H40+H41</f>
        <v>13890328.1326683</v>
      </c>
      <c r="I42" s="35" t="n">
        <f aca="false">I40+I41</f>
        <v>14486748.3850838</v>
      </c>
      <c r="J42" s="35" t="n">
        <f aca="false">J40+J41</f>
        <v>15107138.3195332</v>
      </c>
      <c r="K42" s="35" t="n">
        <f aca="false">K40+K41</f>
        <v>10214223.9085933</v>
      </c>
      <c r="L42" s="35" t="n">
        <f aca="false">L40+L41</f>
        <v>16423568.0059498</v>
      </c>
      <c r="M42" s="35" t="n">
        <f aca="false">M40+M41</f>
        <v>17121566.7339437</v>
      </c>
      <c r="N42" s="35" t="n">
        <f aca="false">N40+N41</f>
        <v>17847455.7305484</v>
      </c>
      <c r="O42" s="35" t="n">
        <f aca="false">O40+O41</f>
        <v>304026103.810245</v>
      </c>
      <c r="P42" s="35" t="n">
        <f aca="false">P40+P41</f>
        <v>0</v>
      </c>
      <c r="Q42" s="35" t="n">
        <f aca="false">Q40+Q41</f>
        <v>0</v>
      </c>
      <c r="R42" s="35" t="n">
        <f aca="false">R40+R41</f>
        <v>0</v>
      </c>
      <c r="S42" s="35" t="n">
        <f aca="false">S40+S41</f>
        <v>0</v>
      </c>
      <c r="T42" s="35" t="n">
        <f aca="false">T40+T41</f>
        <v>0</v>
      </c>
      <c r="U42" s="35" t="n">
        <f aca="false">U40+U41</f>
        <v>0</v>
      </c>
      <c r="V42" s="35" t="n">
        <f aca="false">V40+V41</f>
        <v>0</v>
      </c>
      <c r="W42" s="35" t="n">
        <f aca="false">W40+W41</f>
        <v>0</v>
      </c>
    </row>
    <row r="43" customFormat="false" ht="15" hidden="false" customHeight="true" outlineLevel="0" collapsed="false">
      <c r="B43" s="36" t="s">
        <v>158</v>
      </c>
      <c r="C43" s="41" t="n">
        <f aca="false">1/(1+Inputs!$C$34)^0</f>
        <v>1</v>
      </c>
      <c r="D43" s="41" t="n">
        <f aca="false">1/(1+Inputs!$C$34)^1</f>
        <v>0.91324200913242</v>
      </c>
      <c r="E43" s="41" t="n">
        <f aca="false">1/(1+Inputs!$C$34)^2</f>
        <v>0.834010967244219</v>
      </c>
      <c r="F43" s="41" t="n">
        <f aca="false">1/(1+Inputs!$C$34)^3</f>
        <v>0.761653851364584</v>
      </c>
      <c r="G43" s="41" t="n">
        <f aca="false">1/(1+Inputs!$C$34)^4</f>
        <v>0.695574293483638</v>
      </c>
      <c r="H43" s="41" t="n">
        <f aca="false">1/(1+Inputs!$C$34)^5</f>
        <v>0.635227665281862</v>
      </c>
      <c r="I43" s="41" t="n">
        <f aca="false">1/(1+Inputs!$C$34)^6</f>
        <v>0.580116589298504</v>
      </c>
      <c r="J43" s="41" t="n">
        <f aca="false">1/(1+Inputs!$C$34)^7</f>
        <v>0.529786839542012</v>
      </c>
      <c r="K43" s="41" t="n">
        <f aca="false">1/(1+Inputs!$C$34)^8</f>
        <v>0.483823597755263</v>
      </c>
      <c r="L43" s="41" t="n">
        <f aca="false">1/(1+Inputs!$C$34)^9</f>
        <v>0.441848034479692</v>
      </c>
      <c r="M43" s="41" t="n">
        <f aca="false">1/(1+Inputs!$C$34)^10</f>
        <v>0.403514186739445</v>
      </c>
      <c r="N43" s="41" t="n">
        <f aca="false">1/(1+Inputs!$C$34)^11</f>
        <v>0.368506106611365</v>
      </c>
      <c r="O43" s="41" t="n">
        <f aca="false">1/(1+Inputs!$C$34)^12</f>
        <v>0.336535257179329</v>
      </c>
      <c r="P43" s="41" t="n">
        <f aca="false">1/(1+Inputs!$C$34)^13</f>
        <v>0.307338134410346</v>
      </c>
      <c r="Q43" s="41" t="n">
        <f aca="false">1/(1+Inputs!$C$34)^14</f>
        <v>0.280674095351914</v>
      </c>
      <c r="R43" s="41" t="n">
        <f aca="false">1/(1+Inputs!$C$34)^15</f>
        <v>0.256323374750606</v>
      </c>
      <c r="S43" s="41" t="n">
        <f aca="false">1/(1+Inputs!$C$34)^16</f>
        <v>0.234085273744846</v>
      </c>
      <c r="T43" s="41" t="n">
        <f aca="false">1/(1+Inputs!$C$34)^17</f>
        <v>0.213776505703056</v>
      </c>
      <c r="U43" s="41" t="n">
        <f aca="false">1/(1+Inputs!$C$34)^18</f>
        <v>0.195229685573567</v>
      </c>
      <c r="V43" s="41" t="n">
        <f aca="false">1/(1+Inputs!$C$34)^19</f>
        <v>0.178291950295495</v>
      </c>
      <c r="W43" s="41" t="n">
        <f aca="false">1/(1+Inputs!$C$34)^20</f>
        <v>0.162823698899995</v>
      </c>
    </row>
    <row r="44" customFormat="false" ht="15" hidden="false" customHeight="true" outlineLevel="0" collapsed="false">
      <c r="B44" s="13" t="s">
        <v>159</v>
      </c>
      <c r="C44" s="33" t="n">
        <f aca="false">C42*C43</f>
        <v>-42000000</v>
      </c>
      <c r="D44" s="33" t="n">
        <f aca="false">D42*D43</f>
        <v>5714478</v>
      </c>
      <c r="E44" s="33" t="n">
        <f aca="false">E42*E43</f>
        <v>7286497.34246576</v>
      </c>
      <c r="F44" s="33" t="n">
        <f aca="false">F42*F43</f>
        <v>8719788.19265653</v>
      </c>
      <c r="G44" s="33" t="n">
        <f aca="false">G42*G43</f>
        <v>9262952.27264161</v>
      </c>
      <c r="H44" s="33" t="n">
        <f aca="false">H42*H43</f>
        <v>8823520.70971383</v>
      </c>
      <c r="I44" s="33" t="n">
        <f aca="false">I42*I43</f>
        <v>8404003.06318039</v>
      </c>
      <c r="J44" s="33" t="n">
        <f aca="false">J42*J43</f>
        <v>8003563.06482952</v>
      </c>
      <c r="K44" s="33" t="n">
        <f aca="false">K42*K43</f>
        <v>4941882.55973341</v>
      </c>
      <c r="L44" s="33" t="n">
        <f aca="false">L42*L43</f>
        <v>7256721.24257248</v>
      </c>
      <c r="M44" s="33" t="n">
        <f aca="false">M42*M43</f>
        <v>6908795.0763524</v>
      </c>
      <c r="N44" s="33" t="n">
        <f aca="false">N42*N43</f>
        <v>6576896.42418308</v>
      </c>
      <c r="O44" s="33" t="n">
        <f aca="false">O42*O43</f>
        <v>102315503.03501</v>
      </c>
      <c r="P44" s="33" t="n">
        <f aca="false">P42*P43</f>
        <v>0</v>
      </c>
      <c r="Q44" s="33" t="n">
        <f aca="false">Q42*Q43</f>
        <v>0</v>
      </c>
      <c r="R44" s="33" t="n">
        <f aca="false">R42*R43</f>
        <v>0</v>
      </c>
      <c r="S44" s="33" t="n">
        <f aca="false">S42*S43</f>
        <v>0</v>
      </c>
      <c r="T44" s="33" t="n">
        <f aca="false">T42*T43</f>
        <v>0</v>
      </c>
      <c r="U44" s="33" t="n">
        <f aca="false">U42*U43</f>
        <v>0</v>
      </c>
      <c r="V44" s="33" t="n">
        <f aca="false">V42*V43</f>
        <v>0</v>
      </c>
      <c r="W44" s="33" t="n">
        <f aca="false">W42*W43</f>
        <v>0</v>
      </c>
    </row>
    <row r="45" customFormat="false" ht="15" hidden="false" customHeight="true" outlineLevel="0" collapsed="false">
      <c r="B45" s="36" t="s">
        <v>160</v>
      </c>
      <c r="C45" s="38" t="n">
        <f aca="false">C42</f>
        <v>-42000000</v>
      </c>
      <c r="D45" s="38" t="n">
        <f aca="false">C45+D42</f>
        <v>-35742646.59</v>
      </c>
      <c r="E45" s="38" t="n">
        <f aca="false">D45+E42</f>
        <v>-27005954.11395</v>
      </c>
      <c r="F45" s="38" t="n">
        <f aca="false">E45+F42</f>
        <v>-15557461.8926685</v>
      </c>
      <c r="G45" s="38" t="n">
        <f aca="false">F45+G42</f>
        <v>-2240477.12278856</v>
      </c>
      <c r="H45" s="38" t="n">
        <f aca="false">G45+H42</f>
        <v>11649851.0098797</v>
      </c>
      <c r="I45" s="38" t="n">
        <f aca="false">H45+I42</f>
        <v>26136599.3949635</v>
      </c>
      <c r="J45" s="38" t="n">
        <f aca="false">I45+J42</f>
        <v>41243737.7144967</v>
      </c>
      <c r="K45" s="38" t="n">
        <f aca="false">J45+K42</f>
        <v>51457961.6230899</v>
      </c>
      <c r="L45" s="38" t="n">
        <f aca="false">K45+L42</f>
        <v>67881529.6290398</v>
      </c>
      <c r="M45" s="38" t="n">
        <f aca="false">L45+M42</f>
        <v>85003096.3629834</v>
      </c>
      <c r="N45" s="38" t="n">
        <f aca="false">M45+N42</f>
        <v>102850552.093532</v>
      </c>
      <c r="O45" s="38" t="n">
        <f aca="false">N45+O42</f>
        <v>406876655.903777</v>
      </c>
      <c r="P45" s="38" t="n">
        <f aca="false">O45+P42</f>
        <v>406876655.903777</v>
      </c>
      <c r="Q45" s="38" t="n">
        <f aca="false">P45+Q42</f>
        <v>406876655.903777</v>
      </c>
      <c r="R45" s="38" t="n">
        <f aca="false">Q45+R42</f>
        <v>406876655.903777</v>
      </c>
      <c r="S45" s="38" t="n">
        <f aca="false">R45+S42</f>
        <v>406876655.903777</v>
      </c>
      <c r="T45" s="38" t="n">
        <f aca="false">S45+T42</f>
        <v>406876655.903777</v>
      </c>
      <c r="U45" s="38" t="n">
        <f aca="false">T45+U42</f>
        <v>406876655.903777</v>
      </c>
      <c r="V45" s="38" t="n">
        <f aca="false">U45+V42</f>
        <v>406876655.903777</v>
      </c>
      <c r="W45" s="38" t="n">
        <f aca="false">V45+W42</f>
        <v>406876655.903777</v>
      </c>
    </row>
    <row r="46" customFormat="false" ht="15" hidden="false" customHeight="true" outlineLevel="0" collapsed="false">
      <c r="B46" s="18" t="s">
        <v>161</v>
      </c>
      <c r="C46" s="42" t="n">
        <f aca="false">SUM(C44:W44)</f>
        <v>142214600.983339</v>
      </c>
    </row>
    <row r="47" customFormat="false" ht="15" hidden="false" customHeight="true" outlineLevel="0" collapsed="false">
      <c r="B47" s="18" t="s">
        <v>162</v>
      </c>
      <c r="C47" s="43" t="n">
        <f aca="false">IRR(C42:W42)</f>
        <v>0.323590782386136</v>
      </c>
    </row>
    <row r="48" customFormat="false" ht="15" hidden="false" customHeight="true" outlineLevel="0" collapsed="false">
      <c r="B48" s="13" t="s">
        <v>163</v>
      </c>
      <c r="C48" s="44" t="n">
        <f aca="false">SUMIF(C42:W42,"&gt;0")/(-C42)</f>
        <v>10.6875394262804</v>
      </c>
    </row>
    <row r="49" customFormat="false" ht="15" hidden="false" customHeight="true" outlineLevel="0" collapsed="false">
      <c r="B49" s="12" t="s">
        <v>167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</row>
    <row r="50" customFormat="false" ht="15" hidden="false" customHeight="true" outlineLevel="0" collapsed="false">
      <c r="B50" s="39" t="s">
        <v>133</v>
      </c>
      <c r="C50" s="30" t="s">
        <v>134</v>
      </c>
      <c r="D50" s="30" t="s">
        <v>135</v>
      </c>
      <c r="E50" s="30" t="s">
        <v>136</v>
      </c>
      <c r="F50" s="30" t="s">
        <v>137</v>
      </c>
      <c r="G50" s="30" t="s">
        <v>138</v>
      </c>
      <c r="H50" s="30" t="s">
        <v>139</v>
      </c>
      <c r="I50" s="30" t="s">
        <v>140</v>
      </c>
      <c r="J50" s="30" t="s">
        <v>141</v>
      </c>
      <c r="K50" s="30" t="s">
        <v>142</v>
      </c>
      <c r="L50" s="30" t="s">
        <v>143</v>
      </c>
      <c r="M50" s="30" t="s">
        <v>144</v>
      </c>
      <c r="N50" s="30" t="s">
        <v>145</v>
      </c>
      <c r="O50" s="30" t="s">
        <v>146</v>
      </c>
      <c r="P50" s="30" t="s">
        <v>147</v>
      </c>
      <c r="Q50" s="30" t="s">
        <v>148</v>
      </c>
      <c r="R50" s="30" t="s">
        <v>149</v>
      </c>
      <c r="S50" s="30" t="s">
        <v>150</v>
      </c>
      <c r="T50" s="30" t="s">
        <v>151</v>
      </c>
      <c r="U50" s="30" t="s">
        <v>152</v>
      </c>
      <c r="V50" s="30" t="s">
        <v>153</v>
      </c>
      <c r="W50" s="30" t="s">
        <v>154</v>
      </c>
    </row>
    <row r="51" customFormat="false" ht="15" hidden="false" customHeight="true" outlineLevel="0" collapsed="false">
      <c r="B51" s="13" t="s">
        <v>155</v>
      </c>
      <c r="C51" s="40" t="n">
        <f aca="false">-Inputs!$C$33</f>
        <v>-42000000</v>
      </c>
      <c r="D51" s="33" t="n">
        <f aca="false">IF(1&lt;=20,CashFlow_20Y!C34,0)</f>
        <v>6257353.41</v>
      </c>
      <c r="E51" s="33" t="n">
        <f aca="false">IF(2&lt;=20,CashFlow_20Y!D34,0)</f>
        <v>8736692.47605</v>
      </c>
      <c r="F51" s="33" t="n">
        <f aca="false">IF(3&lt;=20,CashFlow_20Y!E34,0)</f>
        <v>11448492.2212815</v>
      </c>
      <c r="G51" s="33" t="n">
        <f aca="false">IF(4&lt;=20,CashFlow_20Y!F34,0)</f>
        <v>13316984.7698799</v>
      </c>
      <c r="H51" s="33" t="n">
        <f aca="false">IF(5&lt;=20,CashFlow_20Y!G34,0)</f>
        <v>13890328.1326683</v>
      </c>
      <c r="I51" s="33" t="n">
        <f aca="false">IF(6&lt;=20,CashFlow_20Y!H34,0)</f>
        <v>14486748.3850838</v>
      </c>
      <c r="J51" s="33" t="n">
        <f aca="false">IF(7&lt;=20,CashFlow_20Y!I34,0)</f>
        <v>15107138.3195332</v>
      </c>
      <c r="K51" s="33" t="n">
        <f aca="false">IF(8&lt;=20,CashFlow_20Y!J34,0)</f>
        <v>10214223.9085933</v>
      </c>
      <c r="L51" s="33" t="n">
        <f aca="false">IF(9&lt;=20,CashFlow_20Y!K34,0)</f>
        <v>16423568.0059498</v>
      </c>
      <c r="M51" s="33" t="n">
        <f aca="false">IF(10&lt;=20,CashFlow_20Y!L34,0)</f>
        <v>17121566.7339437</v>
      </c>
      <c r="N51" s="33" t="n">
        <f aca="false">IF(11&lt;=20,CashFlow_20Y!M34,0)</f>
        <v>17847455.7305484</v>
      </c>
      <c r="O51" s="33" t="n">
        <f aca="false">IF(12&lt;=20,CashFlow_20Y!N34,0)</f>
        <v>18602309.0863277</v>
      </c>
      <c r="P51" s="33" t="n">
        <f aca="false">IF(13&lt;=20,CashFlow_20Y!O34,0)</f>
        <v>19387241.2758524</v>
      </c>
      <c r="Q51" s="33" t="n">
        <f aca="false">IF(14&lt;=20,CashFlow_20Y!P34,0)</f>
        <v>20203408.6511841</v>
      </c>
      <c r="R51" s="33" t="n">
        <f aca="false">IF(15&lt;=20,CashFlow_20Y!Q34,0)</f>
        <v>21052010.9899413</v>
      </c>
      <c r="S51" s="33" t="n">
        <f aca="false">IF(16&lt;=20,CashFlow_20Y!R34,0)</f>
        <v>14689446.2753346</v>
      </c>
      <c r="T51" s="33" t="n">
        <f aca="false">IF(17&lt;=20,CashFlow_20Y!S34,0)</f>
        <v>22851546.4823409</v>
      </c>
      <c r="U51" s="33" t="n">
        <f aca="false">IF(18&lt;=20,CashFlow_20Y!T34,0)</f>
        <v>23805111.0557765</v>
      </c>
      <c r="V51" s="33" t="n">
        <f aca="false">IF(19&lt;=20,CashFlow_20Y!U34,0)</f>
        <v>24796376.943072</v>
      </c>
      <c r="W51" s="33" t="n">
        <f aca="false">IF(20&lt;=20,CashFlow_20Y!V34,0)</f>
        <v>25826786.3234216</v>
      </c>
    </row>
    <row r="52" customFormat="false" ht="15" hidden="false" customHeight="true" outlineLevel="0" collapsed="false">
      <c r="B52" s="13" t="s">
        <v>156</v>
      </c>
      <c r="D52" s="33" t="n">
        <f aca="false">IF(1=20,(CashFlow_20Y!C36/Inputs!$C$35)*(1-Inputs!$C$36),0)</f>
        <v>0</v>
      </c>
      <c r="E52" s="33" t="n">
        <f aca="false">IF(2=20,(CashFlow_20Y!D36/Inputs!$C$35)*(1-Inputs!$C$36),0)</f>
        <v>0</v>
      </c>
      <c r="F52" s="33" t="n">
        <f aca="false">IF(3=20,(CashFlow_20Y!E36/Inputs!$C$35)*(1-Inputs!$C$36),0)</f>
        <v>0</v>
      </c>
      <c r="G52" s="33" t="n">
        <f aca="false">IF(4=20,(CashFlow_20Y!F36/Inputs!$C$35)*(1-Inputs!$C$36),0)</f>
        <v>0</v>
      </c>
      <c r="H52" s="33" t="n">
        <f aca="false">IF(5=20,(CashFlow_20Y!G36/Inputs!$C$35)*(1-Inputs!$C$36),0)</f>
        <v>0</v>
      </c>
      <c r="I52" s="33" t="n">
        <f aca="false">IF(6=20,(CashFlow_20Y!H36/Inputs!$C$35)*(1-Inputs!$C$36),0)</f>
        <v>0</v>
      </c>
      <c r="J52" s="33" t="n">
        <f aca="false">IF(7=20,(CashFlow_20Y!I36/Inputs!$C$35)*(1-Inputs!$C$36),0)</f>
        <v>0</v>
      </c>
      <c r="K52" s="33" t="n">
        <f aca="false">IF(8=20,(CashFlow_20Y!J36/Inputs!$C$35)*(1-Inputs!$C$36),0)</f>
        <v>0</v>
      </c>
      <c r="L52" s="33" t="n">
        <f aca="false">IF(9=20,(CashFlow_20Y!K36/Inputs!$C$35)*(1-Inputs!$C$36),0)</f>
        <v>0</v>
      </c>
      <c r="M52" s="33" t="n">
        <f aca="false">IF(10=20,(CashFlow_20Y!L36/Inputs!$C$35)*(1-Inputs!$C$36),0)</f>
        <v>0</v>
      </c>
      <c r="N52" s="33" t="n">
        <f aca="false">IF(11=20,(CashFlow_20Y!M36/Inputs!$C$35)*(1-Inputs!$C$36),0)</f>
        <v>0</v>
      </c>
      <c r="O52" s="33" t="n">
        <f aca="false">IF(12=20,(CashFlow_20Y!N36/Inputs!$C$35)*(1-Inputs!$C$36),0)</f>
        <v>0</v>
      </c>
      <c r="P52" s="33" t="n">
        <f aca="false">IF(13=20,(CashFlow_20Y!O36/Inputs!$C$35)*(1-Inputs!$C$36),0)</f>
        <v>0</v>
      </c>
      <c r="Q52" s="33" t="n">
        <f aca="false">IF(14=20,(CashFlow_20Y!P36/Inputs!$C$35)*(1-Inputs!$C$36),0)</f>
        <v>0</v>
      </c>
      <c r="R52" s="33" t="n">
        <f aca="false">IF(15=20,(CashFlow_20Y!Q36/Inputs!$C$35)*(1-Inputs!$C$36),0)</f>
        <v>0</v>
      </c>
      <c r="S52" s="33" t="n">
        <f aca="false">IF(16=20,(CashFlow_20Y!R36/Inputs!$C$35)*(1-Inputs!$C$36),0)</f>
        <v>0</v>
      </c>
      <c r="T52" s="33" t="n">
        <f aca="false">IF(17=20,(CashFlow_20Y!S36/Inputs!$C$35)*(1-Inputs!$C$36),0)</f>
        <v>0</v>
      </c>
      <c r="U52" s="33" t="n">
        <f aca="false">IF(18=20,(CashFlow_20Y!T36/Inputs!$C$35)*(1-Inputs!$C$36),0)</f>
        <v>0</v>
      </c>
      <c r="V52" s="33" t="n">
        <f aca="false">IF(19=20,(CashFlow_20Y!U36/Inputs!$C$35)*(1-Inputs!$C$36),0)</f>
        <v>0</v>
      </c>
      <c r="W52" s="33" t="n">
        <f aca="false">IF(20=20,(CashFlow_20Y!V36/Inputs!$C$35)*(1-Inputs!$C$36),0)</f>
        <v>391308625.560781</v>
      </c>
    </row>
    <row r="53" customFormat="false" ht="15" hidden="false" customHeight="true" outlineLevel="0" collapsed="false">
      <c r="B53" s="34" t="s">
        <v>157</v>
      </c>
      <c r="C53" s="35" t="n">
        <f aca="false">C51</f>
        <v>-42000000</v>
      </c>
      <c r="D53" s="35" t="n">
        <f aca="false">D51+D52</f>
        <v>6257353.41</v>
      </c>
      <c r="E53" s="35" t="n">
        <f aca="false">E51+E52</f>
        <v>8736692.47605</v>
      </c>
      <c r="F53" s="35" t="n">
        <f aca="false">F51+F52</f>
        <v>11448492.2212815</v>
      </c>
      <c r="G53" s="35" t="n">
        <f aca="false">G51+G52</f>
        <v>13316984.7698799</v>
      </c>
      <c r="H53" s="35" t="n">
        <f aca="false">H51+H52</f>
        <v>13890328.1326683</v>
      </c>
      <c r="I53" s="35" t="n">
        <f aca="false">I51+I52</f>
        <v>14486748.3850838</v>
      </c>
      <c r="J53" s="35" t="n">
        <f aca="false">J51+J52</f>
        <v>15107138.3195332</v>
      </c>
      <c r="K53" s="35" t="n">
        <f aca="false">K51+K52</f>
        <v>10214223.9085933</v>
      </c>
      <c r="L53" s="35" t="n">
        <f aca="false">L51+L52</f>
        <v>16423568.0059498</v>
      </c>
      <c r="M53" s="35" t="n">
        <f aca="false">M51+M52</f>
        <v>17121566.7339437</v>
      </c>
      <c r="N53" s="35" t="n">
        <f aca="false">N51+N52</f>
        <v>17847455.7305484</v>
      </c>
      <c r="O53" s="35" t="n">
        <f aca="false">O51+O52</f>
        <v>18602309.0863277</v>
      </c>
      <c r="P53" s="35" t="n">
        <f aca="false">P51+P52</f>
        <v>19387241.2758524</v>
      </c>
      <c r="Q53" s="35" t="n">
        <f aca="false">Q51+Q52</f>
        <v>20203408.6511841</v>
      </c>
      <c r="R53" s="35" t="n">
        <f aca="false">R51+R52</f>
        <v>21052010.9899413</v>
      </c>
      <c r="S53" s="35" t="n">
        <f aca="false">S51+S52</f>
        <v>14689446.2753346</v>
      </c>
      <c r="T53" s="35" t="n">
        <f aca="false">T51+T52</f>
        <v>22851546.4823409</v>
      </c>
      <c r="U53" s="35" t="n">
        <f aca="false">U51+U52</f>
        <v>23805111.0557765</v>
      </c>
      <c r="V53" s="35" t="n">
        <f aca="false">V51+V52</f>
        <v>24796376.943072</v>
      </c>
      <c r="W53" s="35" t="n">
        <f aca="false">W51+W52</f>
        <v>417135411.884203</v>
      </c>
    </row>
    <row r="54" customFormat="false" ht="15" hidden="false" customHeight="true" outlineLevel="0" collapsed="false">
      <c r="B54" s="36" t="s">
        <v>158</v>
      </c>
      <c r="C54" s="41" t="n">
        <f aca="false">1/(1+Inputs!$C$34)^0</f>
        <v>1</v>
      </c>
      <c r="D54" s="41" t="n">
        <f aca="false">1/(1+Inputs!$C$34)^1</f>
        <v>0.91324200913242</v>
      </c>
      <c r="E54" s="41" t="n">
        <f aca="false">1/(1+Inputs!$C$34)^2</f>
        <v>0.834010967244219</v>
      </c>
      <c r="F54" s="41" t="n">
        <f aca="false">1/(1+Inputs!$C$34)^3</f>
        <v>0.761653851364584</v>
      </c>
      <c r="G54" s="41" t="n">
        <f aca="false">1/(1+Inputs!$C$34)^4</f>
        <v>0.695574293483638</v>
      </c>
      <c r="H54" s="41" t="n">
        <f aca="false">1/(1+Inputs!$C$34)^5</f>
        <v>0.635227665281862</v>
      </c>
      <c r="I54" s="41" t="n">
        <f aca="false">1/(1+Inputs!$C$34)^6</f>
        <v>0.580116589298504</v>
      </c>
      <c r="J54" s="41" t="n">
        <f aca="false">1/(1+Inputs!$C$34)^7</f>
        <v>0.529786839542012</v>
      </c>
      <c r="K54" s="41" t="n">
        <f aca="false">1/(1+Inputs!$C$34)^8</f>
        <v>0.483823597755263</v>
      </c>
      <c r="L54" s="41" t="n">
        <f aca="false">1/(1+Inputs!$C$34)^9</f>
        <v>0.441848034479692</v>
      </c>
      <c r="M54" s="41" t="n">
        <f aca="false">1/(1+Inputs!$C$34)^10</f>
        <v>0.403514186739445</v>
      </c>
      <c r="N54" s="41" t="n">
        <f aca="false">1/(1+Inputs!$C$34)^11</f>
        <v>0.368506106611365</v>
      </c>
      <c r="O54" s="41" t="n">
        <f aca="false">1/(1+Inputs!$C$34)^12</f>
        <v>0.336535257179329</v>
      </c>
      <c r="P54" s="41" t="n">
        <f aca="false">1/(1+Inputs!$C$34)^13</f>
        <v>0.307338134410346</v>
      </c>
      <c r="Q54" s="41" t="n">
        <f aca="false">1/(1+Inputs!$C$34)^14</f>
        <v>0.280674095351914</v>
      </c>
      <c r="R54" s="41" t="n">
        <f aca="false">1/(1+Inputs!$C$34)^15</f>
        <v>0.256323374750606</v>
      </c>
      <c r="S54" s="41" t="n">
        <f aca="false">1/(1+Inputs!$C$34)^16</f>
        <v>0.234085273744846</v>
      </c>
      <c r="T54" s="41" t="n">
        <f aca="false">1/(1+Inputs!$C$34)^17</f>
        <v>0.213776505703056</v>
      </c>
      <c r="U54" s="41" t="n">
        <f aca="false">1/(1+Inputs!$C$34)^18</f>
        <v>0.195229685573567</v>
      </c>
      <c r="V54" s="41" t="n">
        <f aca="false">1/(1+Inputs!$C$34)^19</f>
        <v>0.178291950295495</v>
      </c>
      <c r="W54" s="41" t="n">
        <f aca="false">1/(1+Inputs!$C$34)^20</f>
        <v>0.162823698899995</v>
      </c>
    </row>
    <row r="55" customFormat="false" ht="15" hidden="false" customHeight="true" outlineLevel="0" collapsed="false">
      <c r="B55" s="13" t="s">
        <v>159</v>
      </c>
      <c r="C55" s="33" t="n">
        <f aca="false">C53*C54</f>
        <v>-42000000</v>
      </c>
      <c r="D55" s="33" t="n">
        <f aca="false">D53*D54</f>
        <v>5714478</v>
      </c>
      <c r="E55" s="33" t="n">
        <f aca="false">E53*E54</f>
        <v>7286497.34246576</v>
      </c>
      <c r="F55" s="33" t="n">
        <f aca="false">F53*F54</f>
        <v>8719788.19265653</v>
      </c>
      <c r="G55" s="33" t="n">
        <f aca="false">G53*G54</f>
        <v>9262952.27264161</v>
      </c>
      <c r="H55" s="33" t="n">
        <f aca="false">H53*H54</f>
        <v>8823520.70971383</v>
      </c>
      <c r="I55" s="33" t="n">
        <f aca="false">I53*I54</f>
        <v>8404003.06318039</v>
      </c>
      <c r="J55" s="33" t="n">
        <f aca="false">J53*J54</f>
        <v>8003563.06482952</v>
      </c>
      <c r="K55" s="33" t="n">
        <f aca="false">K53*K54</f>
        <v>4941882.55973341</v>
      </c>
      <c r="L55" s="33" t="n">
        <f aca="false">L53*L54</f>
        <v>7256721.24257248</v>
      </c>
      <c r="M55" s="33" t="n">
        <f aca="false">M53*M54</f>
        <v>6908795.0763524</v>
      </c>
      <c r="N55" s="33" t="n">
        <f aca="false">N53*N54</f>
        <v>6576896.42418308</v>
      </c>
      <c r="O55" s="33" t="n">
        <f aca="false">O53*O54</f>
        <v>6260332.87249666</v>
      </c>
      <c r="P55" s="33" t="n">
        <f aca="false">P53*P54</f>
        <v>5958438.56508372</v>
      </c>
      <c r="Q55" s="33" t="n">
        <f aca="false">Q53*Q54</f>
        <v>5670573.44619612</v>
      </c>
      <c r="R55" s="33" t="n">
        <f aca="false">R53*R54</f>
        <v>5396122.50222861</v>
      </c>
      <c r="S55" s="33" t="n">
        <f aca="false">S53*S54</f>
        <v>3438583.0525219</v>
      </c>
      <c r="T55" s="33" t="n">
        <f aca="false">T53*T54</f>
        <v>4885123.75690579</v>
      </c>
      <c r="U55" s="33" t="n">
        <f aca="false">U53*U54</f>
        <v>4647464.34646309</v>
      </c>
      <c r="V55" s="33" t="n">
        <f aca="false">V53*V54</f>
        <v>4420994.40544255</v>
      </c>
      <c r="W55" s="33" t="n">
        <f aca="false">W53*W54</f>
        <v>67919530.705159</v>
      </c>
    </row>
    <row r="56" customFormat="false" ht="15" hidden="false" customHeight="true" outlineLevel="0" collapsed="false">
      <c r="B56" s="36" t="s">
        <v>160</v>
      </c>
      <c r="C56" s="38" t="n">
        <f aca="false">C53</f>
        <v>-42000000</v>
      </c>
      <c r="D56" s="38" t="n">
        <f aca="false">C56+D53</f>
        <v>-35742646.59</v>
      </c>
      <c r="E56" s="38" t="n">
        <f aca="false">D56+E53</f>
        <v>-27005954.11395</v>
      </c>
      <c r="F56" s="38" t="n">
        <f aca="false">E56+F53</f>
        <v>-15557461.8926685</v>
      </c>
      <c r="G56" s="38" t="n">
        <f aca="false">F56+G53</f>
        <v>-2240477.12278856</v>
      </c>
      <c r="H56" s="38" t="n">
        <f aca="false">G56+H53</f>
        <v>11649851.0098797</v>
      </c>
      <c r="I56" s="38" t="n">
        <f aca="false">H56+I53</f>
        <v>26136599.3949635</v>
      </c>
      <c r="J56" s="38" t="n">
        <f aca="false">I56+J53</f>
        <v>41243737.7144967</v>
      </c>
      <c r="K56" s="38" t="n">
        <f aca="false">J56+K53</f>
        <v>51457961.6230899</v>
      </c>
      <c r="L56" s="38" t="n">
        <f aca="false">K56+L53</f>
        <v>67881529.6290398</v>
      </c>
      <c r="M56" s="38" t="n">
        <f aca="false">L56+M53</f>
        <v>85003096.3629834</v>
      </c>
      <c r="N56" s="38" t="n">
        <f aca="false">M56+N53</f>
        <v>102850552.093532</v>
      </c>
      <c r="O56" s="38" t="n">
        <f aca="false">N56+O53</f>
        <v>121452861.17986</v>
      </c>
      <c r="P56" s="38" t="n">
        <f aca="false">O56+P53</f>
        <v>140840102.455712</v>
      </c>
      <c r="Q56" s="38" t="n">
        <f aca="false">P56+Q53</f>
        <v>161043511.106896</v>
      </c>
      <c r="R56" s="38" t="n">
        <f aca="false">Q56+R53</f>
        <v>182095522.096837</v>
      </c>
      <c r="S56" s="38" t="n">
        <f aca="false">R56+S53</f>
        <v>196784968.372172</v>
      </c>
      <c r="T56" s="38" t="n">
        <f aca="false">S56+T53</f>
        <v>219636514.854513</v>
      </c>
      <c r="U56" s="38" t="n">
        <f aca="false">T56+U53</f>
        <v>243441625.910289</v>
      </c>
      <c r="V56" s="38" t="n">
        <f aca="false">U56+V53</f>
        <v>268238002.853361</v>
      </c>
      <c r="W56" s="38" t="n">
        <f aca="false">V56+W53</f>
        <v>685373414.737564</v>
      </c>
    </row>
    <row r="57" customFormat="false" ht="15" hidden="false" customHeight="true" outlineLevel="0" collapsed="false">
      <c r="B57" s="18" t="s">
        <v>161</v>
      </c>
      <c r="C57" s="42" t="n">
        <f aca="false">SUM(C55:W55)</f>
        <v>148496261.600826</v>
      </c>
    </row>
    <row r="58" customFormat="false" ht="15" hidden="false" customHeight="true" outlineLevel="0" collapsed="false">
      <c r="B58" s="18" t="s">
        <v>162</v>
      </c>
      <c r="C58" s="43" t="n">
        <f aca="false">IRR(C53:W53)</f>
        <v>0.287086101146846</v>
      </c>
    </row>
    <row r="59" customFormat="false" ht="15" hidden="false" customHeight="true" outlineLevel="0" collapsed="false">
      <c r="B59" s="13" t="s">
        <v>163</v>
      </c>
      <c r="C59" s="44" t="n">
        <f aca="false">SUMIF(C53:W53,"&gt;0")/(-C53)</f>
        <v>17.3184146366087</v>
      </c>
    </row>
  </sheetData>
  <mergeCells count="5">
    <mergeCell ref="B5:W5"/>
    <mergeCell ref="B16:W16"/>
    <mergeCell ref="B27:W27"/>
    <mergeCell ref="B38:W38"/>
    <mergeCell ref="B49:W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10" min="3" style="1" width="14"/>
  </cols>
  <sheetData>
    <row r="2" customFormat="false" ht="21.75" hidden="false" customHeight="true" outlineLevel="0" collapsed="false">
      <c r="B2" s="10" t="s">
        <v>168</v>
      </c>
    </row>
    <row r="3" customFormat="false" ht="15" hidden="false" customHeight="true" outlineLevel="0" collapsed="false">
      <c r="B3" s="45" t="s">
        <v>169</v>
      </c>
    </row>
    <row r="6" customFormat="false" ht="15" hidden="false" customHeight="true" outlineLevel="0" collapsed="false">
      <c r="B6" s="46" t="s">
        <v>170</v>
      </c>
      <c r="C6" s="46"/>
      <c r="D6" s="46"/>
      <c r="E6" s="46"/>
      <c r="F6" s="46"/>
      <c r="G6" s="46"/>
      <c r="H6" s="46"/>
      <c r="I6" s="46"/>
      <c r="J6" s="46"/>
      <c r="K6" s="46"/>
    </row>
    <row r="7" customFormat="false" ht="15" hidden="false" customHeight="true" outlineLevel="0" collapsed="false">
      <c r="B7" s="39" t="s">
        <v>171</v>
      </c>
      <c r="C7" s="30" t="s">
        <v>134</v>
      </c>
      <c r="D7" s="30" t="s">
        <v>135</v>
      </c>
      <c r="E7" s="30" t="s">
        <v>136</v>
      </c>
      <c r="F7" s="30" t="s">
        <v>137</v>
      </c>
      <c r="G7" s="30" t="s">
        <v>138</v>
      </c>
      <c r="H7" s="30" t="s">
        <v>139</v>
      </c>
      <c r="I7" s="30" t="s">
        <v>140</v>
      </c>
      <c r="J7" s="30" t="s">
        <v>141</v>
      </c>
      <c r="K7" s="30" t="s">
        <v>142</v>
      </c>
      <c r="L7" s="30" t="s">
        <v>143</v>
      </c>
      <c r="M7" s="30" t="s">
        <v>144</v>
      </c>
    </row>
    <row r="8" customFormat="false" ht="15" hidden="false" customHeight="true" outlineLevel="0" collapsed="false">
      <c r="B8" s="13" t="s">
        <v>155</v>
      </c>
      <c r="C8" s="33" t="n">
        <f aca="false">-Inputs!$C$33</f>
        <v>-42000000</v>
      </c>
      <c r="D8" s="33" t="n">
        <f aca="false">CashFlow_20Y!C34</f>
        <v>6257353.41</v>
      </c>
      <c r="E8" s="33" t="n">
        <f aca="false">CashFlow_20Y!D34</f>
        <v>8736692.47605</v>
      </c>
      <c r="F8" s="33" t="n">
        <f aca="false">CashFlow_20Y!E34</f>
        <v>11448492.2212815</v>
      </c>
      <c r="G8" s="33" t="n">
        <f aca="false">CashFlow_20Y!F34</f>
        <v>13316984.7698799</v>
      </c>
      <c r="H8" s="33" t="n">
        <f aca="false">CashFlow_20Y!G34</f>
        <v>13890328.1326683</v>
      </c>
      <c r="I8" s="33" t="n">
        <f aca="false">CashFlow_20Y!H34</f>
        <v>14486748.3850838</v>
      </c>
      <c r="J8" s="33" t="n">
        <f aca="false">CashFlow_20Y!I34</f>
        <v>15107138.3195332</v>
      </c>
      <c r="K8" s="33" t="n">
        <f aca="false">CashFlow_20Y!J34</f>
        <v>10214223.9085933</v>
      </c>
      <c r="L8" s="33" t="n">
        <f aca="false">CashFlow_20Y!K34</f>
        <v>16423568.0059498</v>
      </c>
      <c r="M8" s="33" t="n">
        <f aca="false">CashFlow_20Y!L34</f>
        <v>17121566.7339437</v>
      </c>
    </row>
    <row r="9" customFormat="false" ht="15" hidden="false" customHeight="true" outlineLevel="0" collapsed="false">
      <c r="B9" s="36" t="s">
        <v>172</v>
      </c>
      <c r="D9" s="33" t="n">
        <f aca="false">CashFlow_20Y!C36</f>
        <v>9928059.631875</v>
      </c>
      <c r="E9" s="33" t="n">
        <f aca="false">CashFlow_20Y!D36</f>
        <v>13009650.2514563</v>
      </c>
      <c r="F9" s="33" t="n">
        <f aca="false">CashFlow_20Y!E36</f>
        <v>15132937.2384999</v>
      </c>
      <c r="G9" s="33" t="n">
        <f aca="false">CashFlow_20Y!F36</f>
        <v>15768244.0478469</v>
      </c>
      <c r="H9" s="33" t="n">
        <f aca="false">CashFlow_20Y!G36</f>
        <v>16428748.6207552</v>
      </c>
      <c r="I9" s="33" t="n">
        <f aca="false">CashFlow_20Y!H36</f>
        <v>17115416.5448186</v>
      </c>
      <c r="J9" s="33" t="n">
        <f aca="false">CashFlow_20Y!I36</f>
        <v>17829249.5831749</v>
      </c>
      <c r="K9" s="33" t="n">
        <f aca="false">CashFlow_20Y!J36</f>
        <v>18571287.0087964</v>
      </c>
      <c r="L9" s="33" t="n">
        <f aca="false">CashFlow_20Y!K36</f>
        <v>19342606.9874434</v>
      </c>
      <c r="M9" s="33" t="n">
        <f aca="false">CashFlow_20Y!L36</f>
        <v>20144328.0110408</v>
      </c>
    </row>
    <row r="12" customFormat="false" ht="15" hidden="false" customHeight="true" outlineLevel="0" collapsed="false">
      <c r="B12" s="47" t="s">
        <v>173</v>
      </c>
      <c r="C12" s="47"/>
      <c r="D12" s="47"/>
      <c r="E12" s="47"/>
      <c r="F12" s="47"/>
      <c r="G12" s="47"/>
      <c r="H12" s="47"/>
      <c r="I12" s="47"/>
      <c r="J12" s="47"/>
    </row>
    <row r="13" customFormat="false" ht="15" hidden="false" customHeight="true" outlineLevel="0" collapsed="false">
      <c r="B13" s="48" t="s">
        <v>174</v>
      </c>
      <c r="C13" s="49" t="n">
        <v>0.055</v>
      </c>
      <c r="D13" s="49" t="n">
        <v>0.065</v>
      </c>
      <c r="E13" s="49" t="n">
        <v>0.075</v>
      </c>
      <c r="F13" s="49" t="n">
        <v>0.085</v>
      </c>
      <c r="G13" s="49" t="n">
        <v>0.095</v>
      </c>
    </row>
    <row r="14" customFormat="false" ht="15" hidden="false" customHeight="true" outlineLevel="0" collapsed="false">
      <c r="B14" s="49" t="n">
        <v>0.07</v>
      </c>
      <c r="C14" s="33" t="n">
        <f aca="false">SUMPRODUCT($C$8:$M$8/((1+$B14)^(COLUMN($C$8:$M$8)-COLUMN($C$8))))+($M$9/C$13*(1-Inputs!$C$36))/((1+$B14)^10)</f>
        <v>225994859.50635</v>
      </c>
      <c r="D14" s="33" t="n">
        <f aca="false">SUMPRODUCT($C$8:$M$8/((1+$B14)^(COLUMN($C$8:$M$8)-COLUMN($C$8))))+($M$9/D$13*(1-Inputs!$C$36))/((1+$B14)^10)</f>
        <v>197923397.164411</v>
      </c>
      <c r="E14" s="33" t="n">
        <f aca="false">SUMPRODUCT($C$8:$M$8/((1+$B14)^(COLUMN($C$8:$M$8)-COLUMN($C$8))))+($M$9/E$13*(1-Inputs!$C$36))/((1+$B14)^10)</f>
        <v>177337658.113655</v>
      </c>
      <c r="F14" s="33" t="n">
        <f aca="false">SUMPRODUCT($C$8:$M$8/((1+$B14)^(COLUMN($C$8:$M$8)-COLUMN($C$8))))+($M$9/F$13*(1-Inputs!$C$36))/((1+$B14)^10)</f>
        <v>161595622.36896</v>
      </c>
      <c r="G14" s="33" t="n">
        <f aca="false">SUMPRODUCT($C$8:$M$8/((1+$B14)^(COLUMN($C$8:$M$8)-COLUMN($C$8))))+($M$9/G$13*(1-Inputs!$C$36))/((1+$B14)^10)</f>
        <v>149167699.412621</v>
      </c>
    </row>
    <row r="15" customFormat="false" ht="15" hidden="false" customHeight="true" outlineLevel="0" collapsed="false">
      <c r="B15" s="49" t="n">
        <v>0.08</v>
      </c>
      <c r="C15" s="33" t="n">
        <f aca="false">SUMPRODUCT($C$8:$M$8/((1+$B15)^(COLUMN($C$8:$M$8)-COLUMN($C$8))))+($M$9/C$13*(1-Inputs!$C$36))/((1+$B15)^10)</f>
        <v>205479609.519728</v>
      </c>
      <c r="D15" s="33" t="n">
        <f aca="false">SUMPRODUCT($C$8:$M$8/((1+$B15)^(COLUMN($C$8:$M$8)-COLUMN($C$8))))+($M$9/D$13*(1-Inputs!$C$36))/((1+$B15)^10)</f>
        <v>179901687.490568</v>
      </c>
      <c r="E15" s="33" t="n">
        <f aca="false">SUMPRODUCT($C$8:$M$8/((1+$B15)^(COLUMN($C$8:$M$8)-COLUMN($C$8))))+($M$9/E$13*(1-Inputs!$C$36))/((1+$B15)^10)</f>
        <v>161144544.669184</v>
      </c>
      <c r="F15" s="33" t="n">
        <f aca="false">SUMPRODUCT($C$8:$M$8/((1+$B15)^(COLUMN($C$8:$M$8)-COLUMN($C$8))))+($M$9/F$13*(1-Inputs!$C$36))/((1+$B15)^10)</f>
        <v>146800847.217537</v>
      </c>
      <c r="G15" s="33" t="n">
        <f aca="false">SUMPRODUCT($C$8:$M$8/((1+$B15)^(COLUMN($C$8:$M$8)-COLUMN($C$8))))+($M$9/G$13*(1-Inputs!$C$36))/((1+$B15)^10)</f>
        <v>135476875.545184</v>
      </c>
    </row>
    <row r="16" customFormat="false" ht="15" hidden="false" customHeight="true" outlineLevel="0" collapsed="false">
      <c r="B16" s="49" t="n">
        <v>0.09</v>
      </c>
      <c r="C16" s="33" t="n">
        <f aca="false">SUMPRODUCT($C$8:$M$8/((1+$B16)^(COLUMN($C$8:$M$8)-COLUMN($C$8))))+($M$9/C$13*(1-Inputs!$C$36))/((1+$B16)^10)</f>
        <v>186836997.373505</v>
      </c>
      <c r="D16" s="33" t="n">
        <f aca="false">SUMPRODUCT($C$8:$M$8/((1+$B16)^(COLUMN($C$8:$M$8)-COLUMN($C$8))))+($M$9/D$13*(1-Inputs!$C$36))/((1+$B16)^10)</f>
        <v>163511128.247561</v>
      </c>
      <c r="E16" s="33" t="n">
        <f aca="false">SUMPRODUCT($C$8:$M$8/((1+$B16)^(COLUMN($C$8:$M$8)-COLUMN($C$8))))+($M$9/E$13*(1-Inputs!$C$36))/((1+$B16)^10)</f>
        <v>146405490.888536</v>
      </c>
      <c r="F16" s="33" t="n">
        <f aca="false">SUMPRODUCT($C$8:$M$8/((1+$B16)^(COLUMN($C$8:$M$8)-COLUMN($C$8))))+($M$9/F$13*(1-Inputs!$C$36))/((1+$B16)^10)</f>
        <v>133324709.378693</v>
      </c>
      <c r="G16" s="33" t="n">
        <f aca="false">SUMPRODUCT($C$8:$M$8/((1+$B16)^(COLUMN($C$8:$M$8)-COLUMN($C$8))))+($M$9/G$13*(1-Inputs!$C$36))/((1+$B16)^10)</f>
        <v>122997776.607765</v>
      </c>
    </row>
    <row r="17" customFormat="false" ht="15" hidden="false" customHeight="true" outlineLevel="0" collapsed="false">
      <c r="B17" s="49" t="n">
        <v>0.095</v>
      </c>
      <c r="C17" s="33" t="n">
        <f aca="false">SUMPRODUCT($C$8:$M$8/((1+$B17)^(COLUMN($C$8:$M$8)-COLUMN($C$8))))+($M$9/C$13*(1-Inputs!$C$36))/((1+$B17)^10)</f>
        <v>178157686.834909</v>
      </c>
      <c r="D17" s="33" t="n">
        <f aca="false">SUMPRODUCT($C$8:$M$8/((1+$B17)^(COLUMN($C$8:$M$8)-COLUMN($C$8))))+($M$9/D$13*(1-Inputs!$C$36))/((1+$B17)^10)</f>
        <v>155875304.479407</v>
      </c>
      <c r="E17" s="33" t="n">
        <f aca="false">SUMPRODUCT($C$8:$M$8/((1+$B17)^(COLUMN($C$8:$M$8)-COLUMN($C$8))))+($M$9/E$13*(1-Inputs!$C$36))/((1+$B17)^10)</f>
        <v>139534890.752039</v>
      </c>
      <c r="F17" s="33" t="n">
        <f aca="false">SUMPRODUCT($C$8:$M$8/((1+$B17)^(COLUMN($C$8:$M$8)-COLUMN($C$8))))+($M$9/F$13*(1-Inputs!$C$36))/((1+$B17)^10)</f>
        <v>127039280.25464</v>
      </c>
      <c r="G17" s="33" t="n">
        <f aca="false">SUMPRODUCT($C$8:$M$8/((1+$B17)^(COLUMN($C$8:$M$8)-COLUMN($C$8))))+($M$9/G$13*(1-Inputs!$C$36))/((1+$B17)^10)</f>
        <v>117174324.598798</v>
      </c>
    </row>
    <row r="18" customFormat="false" ht="15" hidden="false" customHeight="true" outlineLevel="0" collapsed="false">
      <c r="B18" s="49" t="n">
        <v>0.1</v>
      </c>
      <c r="C18" s="33" t="n">
        <f aca="false">SUMPRODUCT($C$8:$M$8/((1+$B18)^(COLUMN($C$8:$M$8)-COLUMN($C$8))))+($M$9/C$13*(1-Inputs!$C$36))/((1+$B18)^10)</f>
        <v>169876962.911365</v>
      </c>
      <c r="D18" s="33" t="n">
        <f aca="false">SUMPRODUCT($C$8:$M$8/((1+$B18)^(COLUMN($C$8:$M$8)-COLUMN($C$8))))+($M$9/D$13*(1-Inputs!$C$36))/((1+$B18)^10)</f>
        <v>148586948.156038</v>
      </c>
      <c r="E18" s="33" t="n">
        <f aca="false">SUMPRODUCT($C$8:$M$8/((1+$B18)^(COLUMN($C$8:$M$8)-COLUMN($C$8))))+($M$9/E$13*(1-Inputs!$C$36))/((1+$B18)^10)</f>
        <v>132974270.668797</v>
      </c>
      <c r="F18" s="33" t="n">
        <f aca="false">SUMPRODUCT($C$8:$M$8/((1+$B18)^(COLUMN($C$8:$M$8)-COLUMN($C$8))))+($M$9/F$13*(1-Inputs!$C$36))/((1+$B18)^10)</f>
        <v>121035164.355025</v>
      </c>
      <c r="G18" s="33" t="n">
        <f aca="false">SUMPRODUCT($C$8:$M$8/((1+$B18)^(COLUMN($C$8:$M$8)-COLUMN($C$8))))+($M$9/G$13*(1-Inputs!$C$36))/((1+$B18)^10)</f>
        <v>111609554.107311</v>
      </c>
    </row>
    <row r="19" customFormat="false" ht="15" hidden="false" customHeight="true" outlineLevel="0" collapsed="false">
      <c r="B19" s="49" t="n">
        <v>0.11</v>
      </c>
      <c r="C19" s="33" t="n">
        <f aca="false">SUMPRODUCT($C$8:$M$8/((1+$B19)^(COLUMN($C$8:$M$8)-COLUMN($C$8))))+($M$9/C$13*(1-Inputs!$C$36))/((1+$B19)^10)</f>
        <v>154430414.551219</v>
      </c>
      <c r="D19" s="33" t="n">
        <f aca="false">SUMPRODUCT($C$8:$M$8/((1+$B19)^(COLUMN($C$8:$M$8)-COLUMN($C$8))))+($M$9/D$13*(1-Inputs!$C$36))/((1+$B19)^10)</f>
        <v>134982500.515936</v>
      </c>
      <c r="E19" s="33" t="n">
        <f aca="false">SUMPRODUCT($C$8:$M$8/((1+$B19)^(COLUMN($C$8:$M$8)-COLUMN($C$8))))+($M$9/E$13*(1-Inputs!$C$36))/((1+$B19)^10)</f>
        <v>120720696.890062</v>
      </c>
      <c r="F19" s="33" t="n">
        <f aca="false">SUMPRODUCT($C$8:$M$8/((1+$B19)^(COLUMN($C$8:$M$8)-COLUMN($C$8))))+($M$9/F$13*(1-Inputs!$C$36))/((1+$B19)^10)</f>
        <v>109814611.764393</v>
      </c>
      <c r="G19" s="33" t="n">
        <f aca="false">SUMPRODUCT($C$8:$M$8/((1+$B19)^(COLUMN($C$8:$M$8)-COLUMN($C$8))))+($M$9/G$13*(1-Inputs!$C$36))/((1+$B19)^10)</f>
        <v>101204544.559918</v>
      </c>
    </row>
    <row r="20" customFormat="false" ht="15" hidden="false" customHeight="true" outlineLevel="0" collapsed="false">
      <c r="B20" s="49" t="n">
        <v>0.12</v>
      </c>
      <c r="C20" s="33" t="n">
        <f aca="false">SUMPRODUCT($C$8:$M$8/((1+$B20)^(COLUMN($C$8:$M$8)-COLUMN($C$8))))+($M$9/C$13*(1-Inputs!$C$36))/((1+$B20)^10)</f>
        <v>140346743.828502</v>
      </c>
      <c r="D20" s="33" t="n">
        <f aca="false">SUMPRODUCT($C$8:$M$8/((1+$B20)^(COLUMN($C$8:$M$8)-COLUMN($C$8))))+($M$9/D$13*(1-Inputs!$C$36))/((1+$B20)^10)</f>
        <v>122567119.216233</v>
      </c>
      <c r="E20" s="33" t="n">
        <f aca="false">SUMPRODUCT($C$8:$M$8/((1+$B20)^(COLUMN($C$8:$M$8)-COLUMN($C$8))))+($M$9/E$13*(1-Inputs!$C$36))/((1+$B20)^10)</f>
        <v>109528727.833902</v>
      </c>
      <c r="F20" s="33" t="n">
        <f aca="false">SUMPRODUCT($C$8:$M$8/((1+$B20)^(COLUMN($C$8:$M$8)-COLUMN($C$8))))+($M$9/F$13*(1-Inputs!$C$36))/((1+$B20)^10)</f>
        <v>99558193.2474142</v>
      </c>
      <c r="G20" s="33" t="n">
        <f aca="false">SUMPRODUCT($C$8:$M$8/((1+$B20)^(COLUMN($C$8:$M$8)-COLUMN($C$8))))+($M$9/G$13*(1-Inputs!$C$36))/((1+$B20)^10)</f>
        <v>91686718.5738709</v>
      </c>
    </row>
    <row r="23" customFormat="false" ht="15" hidden="false" customHeight="true" outlineLevel="0" collapsed="false">
      <c r="B23" s="47" t="s">
        <v>175</v>
      </c>
      <c r="C23" s="47"/>
      <c r="D23" s="47"/>
      <c r="E23" s="47"/>
      <c r="F23" s="47"/>
      <c r="G23" s="47"/>
      <c r="H23" s="47"/>
      <c r="I23" s="47"/>
      <c r="J23" s="47"/>
    </row>
    <row r="24" customFormat="false" ht="15" hidden="false" customHeight="true" outlineLevel="0" collapsed="false">
      <c r="B24" s="48" t="s">
        <v>176</v>
      </c>
      <c r="C24" s="50" t="n">
        <v>5</v>
      </c>
      <c r="D24" s="50" t="n">
        <v>8</v>
      </c>
      <c r="E24" s="50" t="n">
        <v>10</v>
      </c>
      <c r="F24" s="50" t="n">
        <v>12</v>
      </c>
      <c r="G24" s="50" t="n">
        <v>20</v>
      </c>
    </row>
    <row r="25" customFormat="false" ht="15" hidden="false" customHeight="true" outlineLevel="0" collapsed="false">
      <c r="B25" s="49" t="n">
        <v>0.07</v>
      </c>
      <c r="C25" s="33" t="n">
        <f aca="false">-Inputs!$C$33+SUMPRODUCT(CashFlow_20Y!$C$34:$V$34*(COLUMN(CashFlow_20Y!$C$34:$V$34)-COLUMN(CashFlow_20Y!$C$34)+1&lt;=C$24)*(1/(1+$B25)^(COLUMN(CashFlow_20Y!$C$34:$V$34)-COLUMN(CashFlow_20Y!$C$34)+1)))+((INDEX(CashFlow_20Y!$C$36:$V$36,1,C$24)/Inputs!$C$35)*(1-Inputs!$C$36))/((1+$B25)^C$24)</f>
        <v>153943432.521536</v>
      </c>
      <c r="D25" s="33" t="n">
        <f aca="false">-Inputs!$C$33+SUMPRODUCT(CashFlow_20Y!$C$34:$V$34*(COLUMN(CashFlow_20Y!$C$34:$V$34)-COLUMN(CashFlow_20Y!$C$34)+1&lt;=D$24)*(1/(1+$B25)^(COLUMN(CashFlow_20Y!$C$34:$V$34)-COLUMN(CashFlow_20Y!$C$34)+1)))+((INDEX(CashFlow_20Y!$C$36:$V$36,1,D$24)/Inputs!$C$35)*(1-Inputs!$C$36))/((1+$B25)^D$24)</f>
        <v>167126417.944349</v>
      </c>
      <c r="E25" s="33" t="n">
        <f aca="false">-Inputs!$C$33+SUMPRODUCT(CashFlow_20Y!$C$34:$V$34*(COLUMN(CashFlow_20Y!$C$34:$V$34)-COLUMN(CashFlow_20Y!$C$34)+1&lt;=E$24)*(1/(1+$B25)^(COLUMN(CashFlow_20Y!$C$34:$V$34)-COLUMN(CashFlow_20Y!$C$34)+1)))+((INDEX(CashFlow_20Y!$C$36:$V$36,1,E$24)/Inputs!$C$35)*(1-Inputs!$C$36))/((1+$B25)^E$24)</f>
        <v>177337658.113655</v>
      </c>
      <c r="F25" s="33" t="n">
        <f aca="false">-Inputs!$C$33+SUMPRODUCT(CashFlow_20Y!$C$34:$V$34*(COLUMN(CashFlow_20Y!$C$34:$V$34)-COLUMN(CashFlow_20Y!$C$34)+1&lt;=F$24)*(1/(1+$B25)^(COLUMN(CashFlow_20Y!$C$34:$V$34)-COLUMN(CashFlow_20Y!$C$34)+1)))+((INDEX(CashFlow_20Y!$C$36:$V$36,1,F$24)/Inputs!$C$35)*(1-Inputs!$C$36))/((1+$B25)^F$24)</f>
        <v>187000777.948288</v>
      </c>
      <c r="G25" s="33" t="n">
        <f aca="false">-Inputs!$C$33+SUMPRODUCT(CashFlow_20Y!$C$34:$V$34*(COLUMN(CashFlow_20Y!$C$34:$V$34)-COLUMN(CashFlow_20Y!$C$34)+1&lt;=G$24)*(1/(1+$B25)^(COLUMN(CashFlow_20Y!$C$34:$V$34)-COLUMN(CashFlow_20Y!$C$34)+1)))+((INDEX(CashFlow_20Y!$C$36:$V$36,1,G$24)/Inputs!$C$35)*(1-Inputs!$C$36))/((1+$B25)^G$24)</f>
        <v>217684896.793009</v>
      </c>
    </row>
    <row r="26" customFormat="false" ht="15" hidden="false" customHeight="true" outlineLevel="0" collapsed="false">
      <c r="B26" s="49" t="n">
        <v>0.08</v>
      </c>
      <c r="C26" s="33" t="n">
        <f aca="false">-Inputs!$C$33+SUMPRODUCT(CashFlow_20Y!$C$34:$V$34*(COLUMN(CashFlow_20Y!$C$34:$V$34)-COLUMN(CashFlow_20Y!$C$34)+1&lt;=C$24)*(1/(1+$B26)^(COLUMN(CashFlow_20Y!$C$34:$V$34)-COLUMN(CashFlow_20Y!$C$34)+1)))+((INDEX(CashFlow_20Y!$C$36:$V$36,1,C$24)/Inputs!$C$35)*(1-Inputs!$C$36))/((1+$B26)^C$24)</f>
        <v>145714340.949033</v>
      </c>
      <c r="D26" s="33" t="n">
        <f aca="false">-Inputs!$C$33+SUMPRODUCT(CashFlow_20Y!$C$34:$V$34*(COLUMN(CashFlow_20Y!$C$34:$V$34)-COLUMN(CashFlow_20Y!$C$34)+1&lt;=D$24)*(1/(1+$B26)^(COLUMN(CashFlow_20Y!$C$34:$V$34)-COLUMN(CashFlow_20Y!$C$34)+1)))+((INDEX(CashFlow_20Y!$C$36:$V$36,1,D$24)/Inputs!$C$35)*(1-Inputs!$C$36))/((1+$B26)^D$24)</f>
        <v>154180895.124137</v>
      </c>
      <c r="E26" s="33" t="n">
        <f aca="false">-Inputs!$C$33+SUMPRODUCT(CashFlow_20Y!$C$34:$V$34*(COLUMN(CashFlow_20Y!$C$34:$V$34)-COLUMN(CashFlow_20Y!$C$34)+1&lt;=E$24)*(1/(1+$B26)^(COLUMN(CashFlow_20Y!$C$34:$V$34)-COLUMN(CashFlow_20Y!$C$34)+1)))+((INDEX(CashFlow_20Y!$C$36:$V$36,1,E$24)/Inputs!$C$35)*(1-Inputs!$C$36))/((1+$B26)^E$24)</f>
        <v>161144544.669184</v>
      </c>
      <c r="F26" s="33" t="n">
        <f aca="false">-Inputs!$C$33+SUMPRODUCT(CashFlow_20Y!$C$34:$V$34*(COLUMN(CashFlow_20Y!$C$34:$V$34)-COLUMN(CashFlow_20Y!$C$34)+1&lt;=F$24)*(1/(1+$B26)^(COLUMN(CashFlow_20Y!$C$34:$V$34)-COLUMN(CashFlow_20Y!$C$34)+1)))+((INDEX(CashFlow_20Y!$C$36:$V$36,1,F$24)/Inputs!$C$35)*(1-Inputs!$C$36))/((1+$B26)^F$24)</f>
        <v>167610532.986388</v>
      </c>
      <c r="G26" s="33" t="n">
        <f aca="false">-Inputs!$C$33+SUMPRODUCT(CashFlow_20Y!$C$34:$V$34*(COLUMN(CashFlow_20Y!$C$34:$V$34)-COLUMN(CashFlow_20Y!$C$34)+1&lt;=G$24)*(1/(1+$B26)^(COLUMN(CashFlow_20Y!$C$34:$V$34)-COLUMN(CashFlow_20Y!$C$34)+1)))+((INDEX(CashFlow_20Y!$C$36:$V$36,1,G$24)/Inputs!$C$35)*(1-Inputs!$C$36))/((1+$B26)^G$24)</f>
        <v>186570664.148255</v>
      </c>
    </row>
    <row r="27" customFormat="false" ht="15" hidden="false" customHeight="true" outlineLevel="0" collapsed="false">
      <c r="B27" s="49" t="n">
        <v>0.09</v>
      </c>
      <c r="C27" s="33" t="n">
        <f aca="false">-Inputs!$C$33+SUMPRODUCT(CashFlow_20Y!$C$34:$V$34*(COLUMN(CashFlow_20Y!$C$34:$V$34)-COLUMN(CashFlow_20Y!$C$34)+1&lt;=C$24)*(1/(1+$B27)^(COLUMN(CashFlow_20Y!$C$34:$V$34)-COLUMN(CashFlow_20Y!$C$34)+1)))+((INDEX(CashFlow_20Y!$C$36:$V$36,1,C$24)/Inputs!$C$35)*(1-Inputs!$C$36))/((1+$B27)^C$24)</f>
        <v>137916484.049018</v>
      </c>
      <c r="D27" s="33" t="n">
        <f aca="false">-Inputs!$C$33+SUMPRODUCT(CashFlow_20Y!$C$34:$V$34*(COLUMN(CashFlow_20Y!$C$34:$V$34)-COLUMN(CashFlow_20Y!$C$34)+1&lt;=D$24)*(1/(1+$B27)^(COLUMN(CashFlow_20Y!$C$34:$V$34)-COLUMN(CashFlow_20Y!$C$34)+1)))+((INDEX(CashFlow_20Y!$C$36:$V$36,1,D$24)/Inputs!$C$35)*(1-Inputs!$C$36))/((1+$B27)^D$24)</f>
        <v>142209935.159328</v>
      </c>
      <c r="E27" s="33" t="n">
        <f aca="false">-Inputs!$C$33+SUMPRODUCT(CashFlow_20Y!$C$34:$V$34*(COLUMN(CashFlow_20Y!$C$34:$V$34)-COLUMN(CashFlow_20Y!$C$34)+1&lt;=E$24)*(1/(1+$B27)^(COLUMN(CashFlow_20Y!$C$34:$V$34)-COLUMN(CashFlow_20Y!$C$34)+1)))+((INDEX(CashFlow_20Y!$C$36:$V$36,1,E$24)/Inputs!$C$35)*(1-Inputs!$C$36))/((1+$B27)^E$24)</f>
        <v>146405490.888536</v>
      </c>
      <c r="F27" s="33" t="n">
        <f aca="false">-Inputs!$C$33+SUMPRODUCT(CashFlow_20Y!$C$34:$V$34*(COLUMN(CashFlow_20Y!$C$34:$V$34)-COLUMN(CashFlow_20Y!$C$34)+1&lt;=F$24)*(1/(1+$B27)^(COLUMN(CashFlow_20Y!$C$34:$V$34)-COLUMN(CashFlow_20Y!$C$34)+1)))+((INDEX(CashFlow_20Y!$C$36:$V$36,1,F$24)/Inputs!$C$35)*(1-Inputs!$C$36))/((1+$B27)^F$24)</f>
        <v>150227160.688379</v>
      </c>
      <c r="G27" s="33" t="n">
        <f aca="false">-Inputs!$C$33+SUMPRODUCT(CashFlow_20Y!$C$34:$V$34*(COLUMN(CashFlow_20Y!$C$34:$V$34)-COLUMN(CashFlow_20Y!$C$34)+1&lt;=G$24)*(1/(1+$B27)^(COLUMN(CashFlow_20Y!$C$34:$V$34)-COLUMN(CashFlow_20Y!$C$34)+1)))+((INDEX(CashFlow_20Y!$C$36:$V$36,1,G$24)/Inputs!$C$35)*(1-Inputs!$C$36))/((1+$B27)^G$24)</f>
        <v>160177394.084512</v>
      </c>
    </row>
    <row r="28" customFormat="false" ht="15" hidden="false" customHeight="true" outlineLevel="0" collapsed="false">
      <c r="B28" s="49" t="n">
        <v>0.095</v>
      </c>
      <c r="C28" s="33" t="n">
        <f aca="false">-Inputs!$C$33+SUMPRODUCT(CashFlow_20Y!$C$34:$V$34*(COLUMN(CashFlow_20Y!$C$34:$V$34)-COLUMN(CashFlow_20Y!$C$34)+1&lt;=C$24)*(1/(1+$B28)^(COLUMN(CashFlow_20Y!$C$34:$V$34)-COLUMN(CashFlow_20Y!$C$34)+1)))+((INDEX(CashFlow_20Y!$C$36:$V$36,1,C$24)/Inputs!$C$35)*(1-Inputs!$C$36))/((1+$B28)^C$24)</f>
        <v>134170912.747713</v>
      </c>
      <c r="D28" s="33" t="n">
        <f aca="false">-Inputs!$C$33+SUMPRODUCT(CashFlow_20Y!$C$34:$V$34*(COLUMN(CashFlow_20Y!$C$34:$V$34)-COLUMN(CashFlow_20Y!$C$34)+1&lt;=D$24)*(1/(1+$B28)^(COLUMN(CashFlow_20Y!$C$34:$V$34)-COLUMN(CashFlow_20Y!$C$34)+1)))+((INDEX(CashFlow_20Y!$C$36:$V$36,1,D$24)/Inputs!$C$35)*(1-Inputs!$C$36))/((1+$B28)^D$24)</f>
        <v>136563649.973629</v>
      </c>
      <c r="E28" s="33" t="n">
        <f aca="false">-Inputs!$C$33+SUMPRODUCT(CashFlow_20Y!$C$34:$V$34*(COLUMN(CashFlow_20Y!$C$34:$V$34)-COLUMN(CashFlow_20Y!$C$34)+1&lt;=E$24)*(1/(1+$B28)^(COLUMN(CashFlow_20Y!$C$34:$V$34)-COLUMN(CashFlow_20Y!$C$34)+1)))+((INDEX(CashFlow_20Y!$C$36:$V$36,1,E$24)/Inputs!$C$35)*(1-Inputs!$C$36))/((1+$B28)^E$24)</f>
        <v>139534890.752039</v>
      </c>
      <c r="F28" s="33" t="n">
        <f aca="false">-Inputs!$C$33+SUMPRODUCT(CashFlow_20Y!$C$34:$V$34*(COLUMN(CashFlow_20Y!$C$34:$V$34)-COLUMN(CashFlow_20Y!$C$34)+1&lt;=F$24)*(1/(1+$B28)^(COLUMN(CashFlow_20Y!$C$34:$V$34)-COLUMN(CashFlow_20Y!$C$34)+1)))+((INDEX(CashFlow_20Y!$C$36:$V$36,1,F$24)/Inputs!$C$35)*(1-Inputs!$C$36))/((1+$B28)^F$24)</f>
        <v>142214600.983339</v>
      </c>
      <c r="G28" s="33" t="n">
        <f aca="false">-Inputs!$C$33+SUMPRODUCT(CashFlow_20Y!$C$34:$V$34*(COLUMN(CashFlow_20Y!$C$34:$V$34)-COLUMN(CashFlow_20Y!$C$34)+1&lt;=G$24)*(1/(1+$B28)^(COLUMN(CashFlow_20Y!$C$34:$V$34)-COLUMN(CashFlow_20Y!$C$34)+1)))+((INDEX(CashFlow_20Y!$C$36:$V$36,1,G$24)/Inputs!$C$35)*(1-Inputs!$C$36))/((1+$B28)^G$24)</f>
        <v>148496261.600826</v>
      </c>
    </row>
    <row r="29" customFormat="false" ht="15" hidden="false" customHeight="true" outlineLevel="0" collapsed="false">
      <c r="B29" s="49" t="n">
        <v>0.1</v>
      </c>
      <c r="C29" s="33" t="n">
        <f aca="false">-Inputs!$C$33+SUMPRODUCT(CashFlow_20Y!$C$34:$V$34*(COLUMN(CashFlow_20Y!$C$34:$V$34)-COLUMN(CashFlow_20Y!$C$34)+1&lt;=C$24)*(1/(1+$B29)^(COLUMN(CashFlow_20Y!$C$34:$V$34)-COLUMN(CashFlow_20Y!$C$34)+1)))+((INDEX(CashFlow_20Y!$C$36:$V$36,1,C$24)/Inputs!$C$35)*(1-Inputs!$C$36))/((1+$B29)^C$24)</f>
        <v>130523360.772897</v>
      </c>
      <c r="D29" s="33" t="n">
        <f aca="false">-Inputs!$C$33+SUMPRODUCT(CashFlow_20Y!$C$34:$V$34*(COLUMN(CashFlow_20Y!$C$34:$V$34)-COLUMN(CashFlow_20Y!$C$34)+1&lt;=D$24)*(1/(1+$B29)^(COLUMN(CashFlow_20Y!$C$34:$V$34)-COLUMN(CashFlow_20Y!$C$34)+1)))+((INDEX(CashFlow_20Y!$C$36:$V$36,1,D$24)/Inputs!$C$35)*(1-Inputs!$C$36))/((1+$B29)^D$24)</f>
        <v>131130493.774505</v>
      </c>
      <c r="E29" s="33" t="n">
        <f aca="false">-Inputs!$C$33+SUMPRODUCT(CashFlow_20Y!$C$34:$V$34*(COLUMN(CashFlow_20Y!$C$34:$V$34)-COLUMN(CashFlow_20Y!$C$34)+1&lt;=E$24)*(1/(1+$B29)^(COLUMN(CashFlow_20Y!$C$34:$V$34)-COLUMN(CashFlow_20Y!$C$34)+1)))+((INDEX(CashFlow_20Y!$C$36:$V$36,1,E$24)/Inputs!$C$35)*(1-Inputs!$C$36))/((1+$B29)^E$24)</f>
        <v>132974270.668797</v>
      </c>
      <c r="F29" s="33" t="n">
        <f aca="false">-Inputs!$C$33+SUMPRODUCT(CashFlow_20Y!$C$34:$V$34*(COLUMN(CashFlow_20Y!$C$34:$V$34)-COLUMN(CashFlow_20Y!$C$34)+1&lt;=F$24)*(1/(1+$B29)^(COLUMN(CashFlow_20Y!$C$34:$V$34)-COLUMN(CashFlow_20Y!$C$34)+1)))+((INDEX(CashFlow_20Y!$C$36:$V$36,1,F$24)/Inputs!$C$35)*(1-Inputs!$C$36))/((1+$B29)^F$24)</f>
        <v>134619377.418909</v>
      </c>
      <c r="G29" s="33" t="n">
        <f aca="false">-Inputs!$C$33+SUMPRODUCT(CashFlow_20Y!$C$34:$V$34*(COLUMN(CashFlow_20Y!$C$34:$V$34)-COLUMN(CashFlow_20Y!$C$34)+1&lt;=G$24)*(1/(1+$B29)^(COLUMN(CashFlow_20Y!$C$34:$V$34)-COLUMN(CashFlow_20Y!$C$34)+1)))+((INDEX(CashFlow_20Y!$C$36:$V$36,1,G$24)/Inputs!$C$35)*(1-Inputs!$C$36))/((1+$B29)^G$24)</f>
        <v>137708619.9141</v>
      </c>
    </row>
    <row r="30" customFormat="false" ht="15" hidden="false" customHeight="true" outlineLevel="0" collapsed="false">
      <c r="B30" s="49" t="n">
        <v>0.11</v>
      </c>
      <c r="C30" s="33" t="n">
        <f aca="false">-Inputs!$C$33+SUMPRODUCT(CashFlow_20Y!$C$34:$V$34*(COLUMN(CashFlow_20Y!$C$34:$V$34)-COLUMN(CashFlow_20Y!$C$34)+1&lt;=C$24)*(1/(1+$B30)^(COLUMN(CashFlow_20Y!$C$34:$V$34)-COLUMN(CashFlow_20Y!$C$34)+1)))+((INDEX(CashFlow_20Y!$C$36:$V$36,1,C$24)/Inputs!$C$35)*(1-Inputs!$C$36))/((1+$B30)^C$24)</f>
        <v>123510326.246716</v>
      </c>
      <c r="D30" s="33" t="n">
        <f aca="false">-Inputs!$C$33+SUMPRODUCT(CashFlow_20Y!$C$34:$V$34*(COLUMN(CashFlow_20Y!$C$34:$V$34)-COLUMN(CashFlow_20Y!$C$34)+1&lt;=D$24)*(1/(1+$B30)^(COLUMN(CashFlow_20Y!$C$34:$V$34)-COLUMN(CashFlow_20Y!$C$34)+1)))+((INDEX(CashFlow_20Y!$C$36:$V$36,1,D$24)/Inputs!$C$35)*(1-Inputs!$C$36))/((1+$B30)^D$24)</f>
        <v>120867337.475634</v>
      </c>
      <c r="E30" s="33" t="n">
        <f aca="false">-Inputs!$C$33+SUMPRODUCT(CashFlow_20Y!$C$34:$V$34*(COLUMN(CashFlow_20Y!$C$34:$V$34)-COLUMN(CashFlow_20Y!$C$34)+1&lt;=E$24)*(1/(1+$B30)^(COLUMN(CashFlow_20Y!$C$34:$V$34)-COLUMN(CashFlow_20Y!$C$34)+1)))+((INDEX(CashFlow_20Y!$C$36:$V$36,1,E$24)/Inputs!$C$35)*(1-Inputs!$C$36))/((1+$B30)^E$24)</f>
        <v>120720696.890062</v>
      </c>
      <c r="F30" s="33" t="n">
        <f aca="false">-Inputs!$C$33+SUMPRODUCT(CashFlow_20Y!$C$34:$V$34*(COLUMN(CashFlow_20Y!$C$34:$V$34)-COLUMN(CashFlow_20Y!$C$34)+1&lt;=F$24)*(1/(1+$B30)^(COLUMN(CashFlow_20Y!$C$34:$V$34)-COLUMN(CashFlow_20Y!$C$34)+1)))+((INDEX(CashFlow_20Y!$C$36:$V$36,1,F$24)/Inputs!$C$35)*(1-Inputs!$C$36))/((1+$B30)^F$24)</f>
        <v>120584745.139498</v>
      </c>
      <c r="G30" s="33" t="n">
        <f aca="false">-Inputs!$C$33+SUMPRODUCT(CashFlow_20Y!$C$34:$V$34*(COLUMN(CashFlow_20Y!$C$34:$V$34)-COLUMN(CashFlow_20Y!$C$34)+1&lt;=G$24)*(1/(1+$B30)^(COLUMN(CashFlow_20Y!$C$34:$V$34)-COLUMN(CashFlow_20Y!$C$34)+1)))+((INDEX(CashFlow_20Y!$C$36:$V$36,1,G$24)/Inputs!$C$35)*(1-Inputs!$C$36))/((1+$B30)^G$24)</f>
        <v>118511577.863991</v>
      </c>
    </row>
    <row r="31" customFormat="false" ht="15" hidden="false" customHeight="true" outlineLevel="0" collapsed="false">
      <c r="B31" s="49" t="n">
        <v>0.12</v>
      </c>
      <c r="C31" s="33" t="n">
        <f aca="false">-Inputs!$C$33+SUMPRODUCT(CashFlow_20Y!$C$34:$V$34*(COLUMN(CashFlow_20Y!$C$34:$V$34)-COLUMN(CashFlow_20Y!$C$34)+1&lt;=C$24)*(1/(1+$B31)^(COLUMN(CashFlow_20Y!$C$34:$V$34)-COLUMN(CashFlow_20Y!$C$34)+1)))+((INDEX(CashFlow_20Y!$C$36:$V$36,1,C$24)/Inputs!$C$35)*(1-Inputs!$C$36))/((1+$B31)^C$24)</f>
        <v>116854446.322141</v>
      </c>
      <c r="D31" s="33" t="n">
        <f aca="false">-Inputs!$C$33+SUMPRODUCT(CashFlow_20Y!$C$34:$V$34*(COLUMN(CashFlow_20Y!$C$34:$V$34)-COLUMN(CashFlow_20Y!$C$34)+1&lt;=D$24)*(1/(1+$B31)^(COLUMN(CashFlow_20Y!$C$34:$V$34)-COLUMN(CashFlow_20Y!$C$34)+1)))+((INDEX(CashFlow_20Y!$C$36:$V$36,1,D$24)/Inputs!$C$35)*(1-Inputs!$C$36))/((1+$B31)^D$24)</f>
        <v>111352243.895638</v>
      </c>
      <c r="E31" s="33" t="n">
        <f aca="false">-Inputs!$C$33+SUMPRODUCT(CashFlow_20Y!$C$34:$V$34*(COLUMN(CashFlow_20Y!$C$34:$V$34)-COLUMN(CashFlow_20Y!$C$34)+1&lt;=E$24)*(1/(1+$B31)^(COLUMN(CashFlow_20Y!$C$34:$V$34)-COLUMN(CashFlow_20Y!$C$34)+1)))+((INDEX(CashFlow_20Y!$C$36:$V$36,1,E$24)/Inputs!$C$35)*(1-Inputs!$C$36))/((1+$B31)^E$24)</f>
        <v>109528727.833902</v>
      </c>
      <c r="F31" s="33" t="n">
        <f aca="false">-Inputs!$C$33+SUMPRODUCT(CashFlow_20Y!$C$34:$V$34*(COLUMN(CashFlow_20Y!$C$34:$V$34)-COLUMN(CashFlow_20Y!$C$34)+1&lt;=F$24)*(1/(1+$B31)^(COLUMN(CashFlow_20Y!$C$34:$V$34)-COLUMN(CashFlow_20Y!$C$34)+1)))+((INDEX(CashFlow_20Y!$C$36:$V$36,1,F$24)/Inputs!$C$35)*(1-Inputs!$C$36))/((1+$B31)^F$24)</f>
        <v>107945829.343566</v>
      </c>
      <c r="G31" s="33" t="n">
        <f aca="false">-Inputs!$C$33+SUMPRODUCT(CashFlow_20Y!$C$34:$V$34*(COLUMN(CashFlow_20Y!$C$34:$V$34)-COLUMN(CashFlow_20Y!$C$34)+1&lt;=G$24)*(1/(1+$B31)^(COLUMN(CashFlow_20Y!$C$34:$V$34)-COLUMN(CashFlow_20Y!$C$34)+1)))+((INDEX(CashFlow_20Y!$C$36:$V$36,1,G$24)/Inputs!$C$35)*(1-Inputs!$C$36))/((1+$B31)^G$24)</f>
        <v>102049925.369697</v>
      </c>
    </row>
  </sheetData>
  <mergeCells count="3">
    <mergeCell ref="B6:K6"/>
    <mergeCell ref="B12:J12"/>
    <mergeCell ref="B23:J23"/>
  </mergeCells>
  <conditionalFormatting sqref="C14:G20">
    <cfRule type="colorScale" priority="2">
      <colorScale>
        <cfvo type="min" val="0"/>
        <cfvo type="percentile" val="50"/>
        <cfvo type="max" val="0"/>
        <color rgb="FFF8B7B7"/>
        <color rgb="FFFFFFFF"/>
        <color rgb="FFB7E2C8"/>
      </colorScale>
    </cfRule>
  </conditionalFormatting>
  <conditionalFormatting sqref="C25:G31">
    <cfRule type="colorScale" priority="3">
      <colorScale>
        <cfvo type="min" val="0"/>
        <cfvo type="percentile" val="50"/>
        <cfvo type="max" val="0"/>
        <color rgb="FFF8B7B7"/>
        <color rgb="FFFFFFFF"/>
        <color rgb="FFB7E2C8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7" min="3" style="1" width="16"/>
  </cols>
  <sheetData>
    <row r="2" customFormat="false" ht="24" hidden="false" customHeight="true" outlineLevel="0" collapsed="false">
      <c r="B2" s="51" t="s">
        <v>177</v>
      </c>
    </row>
    <row r="3" customFormat="false" ht="15" hidden="false" customHeight="true" outlineLevel="0" collapsed="false">
      <c r="B3" s="45" t="s">
        <v>178</v>
      </c>
    </row>
    <row r="5" customFormat="false" ht="15" hidden="false" customHeight="true" outlineLevel="0" collapsed="false">
      <c r="B5" s="12" t="s">
        <v>179</v>
      </c>
      <c r="C5" s="12"/>
      <c r="D5" s="12"/>
      <c r="E5" s="12"/>
      <c r="F5" s="12"/>
      <c r="G5" s="12"/>
    </row>
    <row r="6" customFormat="false" ht="15" hidden="false" customHeight="true" outlineLevel="0" collapsed="false">
      <c r="B6" s="29" t="s">
        <v>180</v>
      </c>
      <c r="C6" s="30" t="s">
        <v>181</v>
      </c>
      <c r="D6" s="30" t="s">
        <v>182</v>
      </c>
      <c r="E6" s="30" t="s">
        <v>183</v>
      </c>
      <c r="F6" s="30" t="s">
        <v>184</v>
      </c>
      <c r="G6" s="30" t="s">
        <v>185</v>
      </c>
    </row>
    <row r="7" customFormat="false" ht="15" hidden="false" customHeight="true" outlineLevel="0" collapsed="false">
      <c r="B7" s="13" t="s">
        <v>73</v>
      </c>
      <c r="C7" s="52" t="n">
        <f aca="false">Inputs!C43</f>
        <v>5</v>
      </c>
      <c r="D7" s="52" t="n">
        <f aca="false">Inputs!D43</f>
        <v>8</v>
      </c>
      <c r="E7" s="52" t="n">
        <f aca="false">Inputs!E43</f>
        <v>10</v>
      </c>
      <c r="F7" s="52" t="n">
        <f aca="false">Inputs!F43</f>
        <v>12</v>
      </c>
      <c r="G7" s="52" t="n">
        <f aca="false">Inputs!G43</f>
        <v>20</v>
      </c>
    </row>
    <row r="8" customFormat="false" ht="15" hidden="false" customHeight="true" outlineLevel="0" collapsed="false">
      <c r="B8" s="13" t="s">
        <v>186</v>
      </c>
      <c r="C8" s="33" t="n">
        <f aca="false">Scenarios!C7</f>
        <v>-42000000</v>
      </c>
      <c r="D8" s="33" t="n">
        <f aca="false">Scenarios!C18</f>
        <v>-42000000</v>
      </c>
      <c r="E8" s="33" t="n">
        <f aca="false">Scenarios!C29</f>
        <v>-42000000</v>
      </c>
      <c r="F8" s="33" t="n">
        <f aca="false">Scenarios!C40</f>
        <v>-42000000</v>
      </c>
      <c r="G8" s="33" t="n">
        <f aca="false">Scenarios!C51</f>
        <v>-42000000</v>
      </c>
    </row>
    <row r="9" customFormat="false" ht="15" hidden="false" customHeight="true" outlineLevel="0" collapsed="false">
      <c r="B9" s="34" t="s">
        <v>187</v>
      </c>
      <c r="C9" s="35" t="n">
        <f aca="false">Scenarios!C13</f>
        <v>134170912.747713</v>
      </c>
      <c r="D9" s="35" t="n">
        <f aca="false">Scenarios!C24</f>
        <v>136563649.973629</v>
      </c>
      <c r="E9" s="35" t="n">
        <f aca="false">Scenarios!C35</f>
        <v>139534890.752039</v>
      </c>
      <c r="F9" s="35" t="n">
        <f aca="false">Scenarios!C46</f>
        <v>142214600.983339</v>
      </c>
      <c r="G9" s="35" t="n">
        <f aca="false">Scenarios!C57</f>
        <v>148496261.600826</v>
      </c>
    </row>
    <row r="10" customFormat="false" ht="15" hidden="false" customHeight="true" outlineLevel="0" collapsed="false">
      <c r="B10" s="34" t="s">
        <v>188</v>
      </c>
      <c r="C10" s="53" t="n">
        <f aca="false">Scenarios!C14</f>
        <v>0.518438840297007</v>
      </c>
      <c r="D10" s="53" t="n">
        <f aca="false">Scenarios!C25</f>
        <v>0.385010042604358</v>
      </c>
      <c r="E10" s="53" t="n">
        <f aca="false">Scenarios!C36</f>
        <v>0.346724661035933</v>
      </c>
      <c r="F10" s="53" t="n">
        <f aca="false">Scenarios!C47</f>
        <v>0.323590782386136</v>
      </c>
      <c r="G10" s="53" t="n">
        <f aca="false">Scenarios!C58</f>
        <v>0.287086101146846</v>
      </c>
    </row>
    <row r="11" customFormat="false" ht="15" hidden="false" customHeight="true" outlineLevel="0" collapsed="false">
      <c r="B11" s="13" t="s">
        <v>189</v>
      </c>
      <c r="C11" s="44" t="n">
        <f aca="false">Scenarios!C15</f>
        <v>6.38854364256542</v>
      </c>
      <c r="D11" s="44" t="n">
        <f aca="false">Scenarios!C26</f>
        <v>8.00292329852453</v>
      </c>
      <c r="E11" s="44" t="n">
        <f aca="false">Scenarios!C37</f>
        <v>9.29100751683928</v>
      </c>
      <c r="F11" s="44" t="n">
        <f aca="false">Scenarios!C48</f>
        <v>10.6875394262804</v>
      </c>
      <c r="G11" s="44" t="n">
        <f aca="false">Scenarios!C59</f>
        <v>17.3184146366087</v>
      </c>
    </row>
    <row r="12" customFormat="false" ht="15" hidden="false" customHeight="true" outlineLevel="0" collapsed="false">
      <c r="B12" s="13" t="s">
        <v>190</v>
      </c>
      <c r="C12" s="54" t="n">
        <f aca="false">C9/C8</f>
        <v>-3.19454554161221</v>
      </c>
      <c r="D12" s="54" t="n">
        <f aca="false">D9/D8</f>
        <v>-3.25151547556261</v>
      </c>
      <c r="E12" s="54" t="n">
        <f aca="false">E9/E8</f>
        <v>-3.32225930361998</v>
      </c>
      <c r="F12" s="54" t="n">
        <f aca="false">F9/F8</f>
        <v>-3.38606192817474</v>
      </c>
      <c r="G12" s="54" t="n">
        <f aca="false">G9/G8</f>
        <v>-3.53562527621015</v>
      </c>
    </row>
    <row r="13" customFormat="false" ht="15" hidden="false" customHeight="true" outlineLevel="0" collapsed="false">
      <c r="B13" s="13" t="s">
        <v>191</v>
      </c>
      <c r="C13" s="55" t="n">
        <f aca="false">C10-Inputs!$C$34</f>
        <v>0.423438840297007</v>
      </c>
      <c r="D13" s="55" t="n">
        <f aca="false">D10-Inputs!$C$34</f>
        <v>0.290010042604358</v>
      </c>
      <c r="E13" s="55" t="n">
        <f aca="false">E10-Inputs!$C$34</f>
        <v>0.251724661035933</v>
      </c>
      <c r="F13" s="55" t="n">
        <f aca="false">F10-Inputs!$C$34</f>
        <v>0.228590782386136</v>
      </c>
      <c r="G13" s="55" t="n">
        <f aca="false">G10-Inputs!$C$34</f>
        <v>0.192086101146846</v>
      </c>
    </row>
    <row r="16" customFormat="false" ht="15" hidden="false" customHeight="true" outlineLevel="0" collapsed="false">
      <c r="B16" s="12" t="s">
        <v>192</v>
      </c>
      <c r="C16" s="12"/>
      <c r="D16" s="12"/>
      <c r="E16" s="12"/>
      <c r="F16" s="12"/>
      <c r="G16" s="12"/>
    </row>
    <row r="17" customFormat="false" ht="15" hidden="false" customHeight="true" outlineLevel="0" collapsed="false">
      <c r="B17" s="18" t="s">
        <v>193</v>
      </c>
      <c r="C17" s="56" t="n">
        <f aca="false">INDEX($C$7:$G$7,1,MATCH(MAX($C$9:$G$9),$C$9:$G$9,0))</f>
        <v>20</v>
      </c>
      <c r="D17" s="57" t="s">
        <v>194</v>
      </c>
      <c r="E17" s="42" t="n">
        <f aca="false">MAX($C$9:$G$9)</f>
        <v>148496261.600826</v>
      </c>
    </row>
    <row r="18" customFormat="false" ht="15" hidden="false" customHeight="true" outlineLevel="0" collapsed="false">
      <c r="B18" s="18" t="s">
        <v>195</v>
      </c>
      <c r="C18" s="56" t="n">
        <f aca="false">INDEX($C$7:$G$7,1,MATCH(MAX($C$10:$G$10),$C$10:$G$10,0))</f>
        <v>5</v>
      </c>
      <c r="D18" s="57" t="s">
        <v>196</v>
      </c>
      <c r="E18" s="43" t="n">
        <f aca="false">MAX($C$10:$G$10)</f>
        <v>0.518438840297007</v>
      </c>
    </row>
    <row r="21" customFormat="false" ht="15" hidden="false" customHeight="true" outlineLevel="0" collapsed="false">
      <c r="B21" s="12" t="s">
        <v>197</v>
      </c>
      <c r="C21" s="12"/>
      <c r="D21" s="12"/>
      <c r="E21" s="12"/>
      <c r="F21" s="12"/>
      <c r="G21" s="12"/>
    </row>
    <row r="22" customFormat="false" ht="15" hidden="false" customHeight="true" outlineLevel="0" collapsed="false">
      <c r="B22" s="58" t="s">
        <v>198</v>
      </c>
      <c r="C22" s="58"/>
      <c r="D22" s="58"/>
      <c r="E22" s="58"/>
      <c r="F22" s="58"/>
      <c r="G22" s="58"/>
    </row>
    <row r="23" customFormat="false" ht="15" hidden="false" customHeight="true" outlineLevel="0" collapsed="false">
      <c r="B23" s="58" t="s">
        <v>199</v>
      </c>
      <c r="C23" s="58"/>
      <c r="D23" s="58"/>
      <c r="E23" s="58"/>
      <c r="F23" s="58"/>
      <c r="G23" s="58"/>
    </row>
    <row r="24" customFormat="false" ht="15" hidden="false" customHeight="true" outlineLevel="0" collapsed="false">
      <c r="B24" s="58" t="s">
        <v>200</v>
      </c>
      <c r="C24" s="58"/>
      <c r="D24" s="58"/>
      <c r="E24" s="58"/>
      <c r="F24" s="58"/>
      <c r="G24" s="58"/>
    </row>
    <row r="25" customFormat="false" ht="15" hidden="false" customHeight="true" outlineLevel="0" collapsed="false">
      <c r="B25" s="58" t="s">
        <v>201</v>
      </c>
      <c r="C25" s="58"/>
      <c r="D25" s="58"/>
      <c r="E25" s="58"/>
      <c r="F25" s="58"/>
      <c r="G25" s="58"/>
    </row>
  </sheetData>
  <mergeCells count="7">
    <mergeCell ref="B5:G5"/>
    <mergeCell ref="B16:G16"/>
    <mergeCell ref="B21:G21"/>
    <mergeCell ref="B22:G22"/>
    <mergeCell ref="B23:G23"/>
    <mergeCell ref="B24:G24"/>
    <mergeCell ref="B25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22" min="3" style="1" width="16"/>
  </cols>
  <sheetData>
    <row r="2" customFormat="false" ht="24" hidden="false" customHeight="true" outlineLevel="0" collapsed="false">
      <c r="B2" s="51" t="s">
        <v>202</v>
      </c>
    </row>
    <row r="3" customFormat="false" ht="15" hidden="false" customHeight="true" outlineLevel="0" collapsed="false">
      <c r="B3" s="11" t="s">
        <v>203</v>
      </c>
    </row>
    <row r="5" customFormat="false" ht="15" hidden="false" customHeight="true" outlineLevel="0" collapsed="false">
      <c r="B5" s="59" t="s">
        <v>204</v>
      </c>
    </row>
    <row r="6" customFormat="false" ht="15" hidden="false" customHeight="true" outlineLevel="0" collapsed="false">
      <c r="B6" s="60" t="s">
        <v>205</v>
      </c>
      <c r="C6" s="60" t="s">
        <v>206</v>
      </c>
      <c r="D6" s="60" t="s">
        <v>207</v>
      </c>
      <c r="E6" s="60" t="s">
        <v>189</v>
      </c>
    </row>
    <row r="7" customFormat="false" ht="15" hidden="false" customHeight="true" outlineLevel="0" collapsed="false">
      <c r="B7" s="61" t="s">
        <v>181</v>
      </c>
      <c r="C7" s="27" t="n">
        <f aca="false">Summary!C9</f>
        <v>134170912.747713</v>
      </c>
      <c r="D7" s="62" t="n">
        <f aca="false">Summary!C10</f>
        <v>0.518438840297007</v>
      </c>
      <c r="E7" s="63" t="n">
        <f aca="false">Summary!C11</f>
        <v>6.38854364256542</v>
      </c>
    </row>
    <row r="8" customFormat="false" ht="15" hidden="false" customHeight="true" outlineLevel="0" collapsed="false">
      <c r="B8" s="61" t="s">
        <v>182</v>
      </c>
      <c r="C8" s="27" t="n">
        <f aca="false">Summary!D9</f>
        <v>136563649.973629</v>
      </c>
      <c r="D8" s="62" t="n">
        <f aca="false">Summary!D10</f>
        <v>0.385010042604358</v>
      </c>
      <c r="E8" s="63" t="n">
        <f aca="false">Summary!D11</f>
        <v>8.00292329852453</v>
      </c>
    </row>
    <row r="9" customFormat="false" ht="15" hidden="false" customHeight="true" outlineLevel="0" collapsed="false">
      <c r="B9" s="61" t="s">
        <v>183</v>
      </c>
      <c r="C9" s="27" t="n">
        <f aca="false">Summary!E9</f>
        <v>139534890.752039</v>
      </c>
      <c r="D9" s="62" t="n">
        <f aca="false">Summary!E10</f>
        <v>0.346724661035933</v>
      </c>
      <c r="E9" s="63" t="n">
        <f aca="false">Summary!E11</f>
        <v>9.29100751683928</v>
      </c>
    </row>
    <row r="10" customFormat="false" ht="15" hidden="false" customHeight="true" outlineLevel="0" collapsed="false">
      <c r="B10" s="61" t="s">
        <v>184</v>
      </c>
      <c r="C10" s="27" t="n">
        <f aca="false">Summary!F9</f>
        <v>142214600.983339</v>
      </c>
      <c r="D10" s="62" t="n">
        <f aca="false">Summary!F10</f>
        <v>0.323590782386136</v>
      </c>
      <c r="E10" s="63" t="n">
        <f aca="false">Summary!F11</f>
        <v>10.6875394262804</v>
      </c>
    </row>
    <row r="11" customFormat="false" ht="15" hidden="false" customHeight="true" outlineLevel="0" collapsed="false">
      <c r="B11" s="61" t="s">
        <v>185</v>
      </c>
      <c r="C11" s="27" t="n">
        <f aca="false">Summary!G9</f>
        <v>148496261.600826</v>
      </c>
      <c r="D11" s="62" t="n">
        <f aca="false">Summary!G10</f>
        <v>0.287086101146846</v>
      </c>
      <c r="E11" s="63" t="n">
        <f aca="false">Summary!G11</f>
        <v>17.3184146366087</v>
      </c>
    </row>
    <row r="16" customFormat="false" ht="15" hidden="false" customHeight="true" outlineLevel="0" collapsed="false">
      <c r="B16" s="59" t="s">
        <v>208</v>
      </c>
    </row>
    <row r="17" customFormat="false" ht="15" hidden="false" customHeight="true" outlineLevel="0" collapsed="false">
      <c r="B17" s="64" t="s">
        <v>171</v>
      </c>
      <c r="C17" s="64" t="s">
        <v>181</v>
      </c>
      <c r="D17" s="64" t="s">
        <v>182</v>
      </c>
      <c r="E17" s="64" t="s">
        <v>183</v>
      </c>
      <c r="F17" s="64" t="s">
        <v>184</v>
      </c>
      <c r="G17" s="64" t="s">
        <v>185</v>
      </c>
    </row>
    <row r="18" customFormat="false" ht="15" hidden="false" customHeight="true" outlineLevel="0" collapsed="false">
      <c r="B18" s="65" t="n">
        <v>0</v>
      </c>
      <c r="C18" s="27" t="n">
        <f aca="false">Scenarios!C12</f>
        <v>-42000000</v>
      </c>
      <c r="D18" s="27" t="n">
        <f aca="false">Scenarios!C23</f>
        <v>-42000000</v>
      </c>
      <c r="E18" s="27" t="n">
        <f aca="false">Scenarios!C34</f>
        <v>-42000000</v>
      </c>
      <c r="F18" s="27" t="n">
        <f aca="false">Scenarios!C45</f>
        <v>-42000000</v>
      </c>
      <c r="G18" s="27" t="n">
        <f aca="false">Scenarios!C56</f>
        <v>-42000000</v>
      </c>
    </row>
    <row r="19" customFormat="false" ht="15" hidden="false" customHeight="true" outlineLevel="0" collapsed="false">
      <c r="B19" s="65" t="n">
        <v>1</v>
      </c>
      <c r="C19" s="27" t="n">
        <f aca="false">Scenarios!D12</f>
        <v>-35742646.59</v>
      </c>
      <c r="D19" s="27" t="n">
        <f aca="false">Scenarios!D23</f>
        <v>-35742646.59</v>
      </c>
      <c r="E19" s="27" t="n">
        <f aca="false">Scenarios!D34</f>
        <v>-35742646.59</v>
      </c>
      <c r="F19" s="27" t="n">
        <f aca="false">Scenarios!D45</f>
        <v>-35742646.59</v>
      </c>
      <c r="G19" s="27" t="n">
        <f aca="false">Scenarios!D56</f>
        <v>-35742646.59</v>
      </c>
    </row>
    <row r="20" customFormat="false" ht="15" hidden="false" customHeight="true" outlineLevel="0" collapsed="false">
      <c r="B20" s="65" t="n">
        <v>2</v>
      </c>
      <c r="C20" s="27" t="n">
        <f aca="false">Scenarios!E12</f>
        <v>-27005954.11395</v>
      </c>
      <c r="D20" s="27" t="n">
        <f aca="false">Scenarios!E23</f>
        <v>-27005954.11395</v>
      </c>
      <c r="E20" s="27" t="n">
        <f aca="false">Scenarios!E34</f>
        <v>-27005954.11395</v>
      </c>
      <c r="F20" s="27" t="n">
        <f aca="false">Scenarios!E45</f>
        <v>-27005954.11395</v>
      </c>
      <c r="G20" s="27" t="n">
        <f aca="false">Scenarios!E56</f>
        <v>-27005954.11395</v>
      </c>
    </row>
    <row r="21" customFormat="false" ht="15" hidden="false" customHeight="true" outlineLevel="0" collapsed="false">
      <c r="B21" s="65" t="n">
        <v>3</v>
      </c>
      <c r="C21" s="27" t="n">
        <f aca="false">Scenarios!F12</f>
        <v>-15557461.8926685</v>
      </c>
      <c r="D21" s="27" t="n">
        <f aca="false">Scenarios!F23</f>
        <v>-15557461.8926685</v>
      </c>
      <c r="E21" s="27" t="n">
        <f aca="false">Scenarios!F34</f>
        <v>-15557461.8926685</v>
      </c>
      <c r="F21" s="27" t="n">
        <f aca="false">Scenarios!F45</f>
        <v>-15557461.8926685</v>
      </c>
      <c r="G21" s="27" t="n">
        <f aca="false">Scenarios!F56</f>
        <v>-15557461.8926685</v>
      </c>
    </row>
    <row r="22" customFormat="false" ht="15" hidden="false" customHeight="true" outlineLevel="0" collapsed="false">
      <c r="B22" s="65" t="n">
        <v>4</v>
      </c>
      <c r="C22" s="27" t="n">
        <f aca="false">Scenarios!G12</f>
        <v>-2240477.12278856</v>
      </c>
      <c r="D22" s="27" t="n">
        <f aca="false">Scenarios!G23</f>
        <v>-2240477.12278856</v>
      </c>
      <c r="E22" s="27" t="n">
        <f aca="false">Scenarios!G34</f>
        <v>-2240477.12278856</v>
      </c>
      <c r="F22" s="27" t="n">
        <f aca="false">Scenarios!G45</f>
        <v>-2240477.12278856</v>
      </c>
      <c r="G22" s="27" t="n">
        <f aca="false">Scenarios!G56</f>
        <v>-2240477.12278856</v>
      </c>
    </row>
    <row r="23" customFormat="false" ht="15" hidden="false" customHeight="true" outlineLevel="0" collapsed="false">
      <c r="B23" s="65" t="n">
        <v>5</v>
      </c>
      <c r="C23" s="27" t="n">
        <f aca="false">Scenarios!H12</f>
        <v>226318832.987748</v>
      </c>
      <c r="D23" s="27" t="n">
        <f aca="false">Scenarios!H23</f>
        <v>11649851.0098797</v>
      </c>
      <c r="E23" s="27" t="n">
        <f aca="false">Scenarios!H34</f>
        <v>11649851.0098797</v>
      </c>
      <c r="F23" s="27" t="n">
        <f aca="false">Scenarios!H45</f>
        <v>11649851.0098797</v>
      </c>
      <c r="G23" s="27" t="n">
        <f aca="false">Scenarios!H56</f>
        <v>11649851.0098797</v>
      </c>
    </row>
    <row r="24" customFormat="false" ht="15" hidden="false" customHeight="true" outlineLevel="0" collapsed="false">
      <c r="B24" s="65" t="n">
        <v>6</v>
      </c>
      <c r="C24" s="27" t="n">
        <f aca="false">Scenarios!I12</f>
        <v>226318832.987748</v>
      </c>
      <c r="D24" s="27" t="n">
        <f aca="false">Scenarios!I23</f>
        <v>26136599.3949635</v>
      </c>
      <c r="E24" s="27" t="n">
        <f aca="false">Scenarios!I34</f>
        <v>26136599.3949635</v>
      </c>
      <c r="F24" s="27" t="n">
        <f aca="false">Scenarios!I45</f>
        <v>26136599.3949635</v>
      </c>
      <c r="G24" s="27" t="n">
        <f aca="false">Scenarios!I56</f>
        <v>26136599.3949635</v>
      </c>
    </row>
    <row r="25" customFormat="false" ht="15" hidden="false" customHeight="true" outlineLevel="0" collapsed="false">
      <c r="B25" s="65" t="n">
        <v>7</v>
      </c>
      <c r="C25" s="27" t="n">
        <f aca="false">Scenarios!J12</f>
        <v>226318832.987748</v>
      </c>
      <c r="D25" s="27" t="n">
        <f aca="false">Scenarios!J23</f>
        <v>41243737.7144967</v>
      </c>
      <c r="E25" s="27" t="n">
        <f aca="false">Scenarios!J34</f>
        <v>41243737.7144967</v>
      </c>
      <c r="F25" s="27" t="n">
        <f aca="false">Scenarios!J45</f>
        <v>41243737.7144967</v>
      </c>
      <c r="G25" s="27" t="n">
        <f aca="false">Scenarios!J56</f>
        <v>41243737.7144967</v>
      </c>
    </row>
    <row r="26" customFormat="false" ht="15" hidden="false" customHeight="true" outlineLevel="0" collapsed="false">
      <c r="B26" s="65" t="n">
        <v>8</v>
      </c>
      <c r="C26" s="27" t="n">
        <f aca="false">Scenarios!K12</f>
        <v>226318832.987748</v>
      </c>
      <c r="D26" s="27" t="n">
        <f aca="false">Scenarios!K23</f>
        <v>294122778.53803</v>
      </c>
      <c r="E26" s="27" t="n">
        <f aca="false">Scenarios!K34</f>
        <v>51457961.6230899</v>
      </c>
      <c r="F26" s="27" t="n">
        <f aca="false">Scenarios!K45</f>
        <v>51457961.6230899</v>
      </c>
      <c r="G26" s="27" t="n">
        <f aca="false">Scenarios!K56</f>
        <v>51457961.6230899</v>
      </c>
    </row>
    <row r="27" customFormat="false" ht="15" hidden="false" customHeight="true" outlineLevel="0" collapsed="false">
      <c r="B27" s="65" t="n">
        <v>9</v>
      </c>
      <c r="C27" s="27" t="n">
        <f aca="false">Scenarios!L12</f>
        <v>226318832.987748</v>
      </c>
      <c r="D27" s="27" t="n">
        <f aca="false">Scenarios!L23</f>
        <v>294122778.53803</v>
      </c>
      <c r="E27" s="27" t="n">
        <f aca="false">Scenarios!L34</f>
        <v>67881529.6290398</v>
      </c>
      <c r="F27" s="27" t="n">
        <f aca="false">Scenarios!L45</f>
        <v>67881529.6290398</v>
      </c>
      <c r="G27" s="27" t="n">
        <f aca="false">Scenarios!L56</f>
        <v>67881529.6290398</v>
      </c>
    </row>
    <row r="28" customFormat="false" ht="15" hidden="false" customHeight="true" outlineLevel="0" collapsed="false">
      <c r="B28" s="65" t="n">
        <v>10</v>
      </c>
      <c r="C28" s="27" t="n">
        <f aca="false">Scenarios!M12</f>
        <v>226318832.987748</v>
      </c>
      <c r="D28" s="27" t="n">
        <f aca="false">Scenarios!M23</f>
        <v>294122778.53803</v>
      </c>
      <c r="E28" s="27" t="n">
        <f aca="false">Scenarios!M34</f>
        <v>348222315.70725</v>
      </c>
      <c r="F28" s="27" t="n">
        <f aca="false">Scenarios!M45</f>
        <v>85003096.3629834</v>
      </c>
      <c r="G28" s="27" t="n">
        <f aca="false">Scenarios!M56</f>
        <v>85003096.3629834</v>
      </c>
    </row>
    <row r="29" customFormat="false" ht="15" hidden="false" customHeight="true" outlineLevel="0" collapsed="false">
      <c r="B29" s="65" t="n">
        <v>11</v>
      </c>
      <c r="C29" s="27" t="n">
        <f aca="false">Scenarios!N12</f>
        <v>226318832.987748</v>
      </c>
      <c r="D29" s="27" t="n">
        <f aca="false">Scenarios!N23</f>
        <v>294122778.53803</v>
      </c>
      <c r="E29" s="27" t="n">
        <f aca="false">Scenarios!N34</f>
        <v>348222315.70725</v>
      </c>
      <c r="F29" s="27" t="n">
        <f aca="false">Scenarios!N45</f>
        <v>102850552.093532</v>
      </c>
      <c r="G29" s="27" t="n">
        <f aca="false">Scenarios!N56</f>
        <v>102850552.093532</v>
      </c>
    </row>
    <row r="30" customFormat="false" ht="15" hidden="false" customHeight="true" outlineLevel="0" collapsed="false">
      <c r="B30" s="65" t="n">
        <v>12</v>
      </c>
      <c r="C30" s="27" t="n">
        <f aca="false">Scenarios!O12</f>
        <v>226318832.987748</v>
      </c>
      <c r="D30" s="27" t="n">
        <f aca="false">Scenarios!O23</f>
        <v>294122778.53803</v>
      </c>
      <c r="E30" s="27" t="n">
        <f aca="false">Scenarios!O34</f>
        <v>348222315.70725</v>
      </c>
      <c r="F30" s="27" t="n">
        <f aca="false">Scenarios!O45</f>
        <v>406876655.903777</v>
      </c>
      <c r="G30" s="27" t="n">
        <f aca="false">Scenarios!O56</f>
        <v>121452861.17986</v>
      </c>
    </row>
    <row r="31" customFormat="false" ht="15" hidden="false" customHeight="true" outlineLevel="0" collapsed="false">
      <c r="B31" s="65" t="n">
        <v>13</v>
      </c>
      <c r="C31" s="27" t="n">
        <f aca="false">Scenarios!P12</f>
        <v>226318832.987748</v>
      </c>
      <c r="D31" s="27" t="n">
        <f aca="false">Scenarios!P23</f>
        <v>294122778.53803</v>
      </c>
      <c r="E31" s="27" t="n">
        <f aca="false">Scenarios!P34</f>
        <v>348222315.70725</v>
      </c>
      <c r="F31" s="27" t="n">
        <f aca="false">Scenarios!P45</f>
        <v>406876655.903777</v>
      </c>
      <c r="G31" s="27" t="n">
        <f aca="false">Scenarios!P56</f>
        <v>140840102.455712</v>
      </c>
    </row>
    <row r="32" customFormat="false" ht="15" hidden="false" customHeight="true" outlineLevel="0" collapsed="false">
      <c r="B32" s="65" t="n">
        <v>14</v>
      </c>
      <c r="C32" s="27" t="n">
        <f aca="false">Scenarios!Q12</f>
        <v>226318832.987748</v>
      </c>
      <c r="D32" s="27" t="n">
        <f aca="false">Scenarios!Q23</f>
        <v>294122778.53803</v>
      </c>
      <c r="E32" s="27" t="n">
        <f aca="false">Scenarios!Q34</f>
        <v>348222315.70725</v>
      </c>
      <c r="F32" s="27" t="n">
        <f aca="false">Scenarios!Q45</f>
        <v>406876655.903777</v>
      </c>
      <c r="G32" s="27" t="n">
        <f aca="false">Scenarios!Q56</f>
        <v>161043511.106896</v>
      </c>
    </row>
    <row r="33" customFormat="false" ht="15" hidden="false" customHeight="true" outlineLevel="0" collapsed="false">
      <c r="B33" s="65" t="n">
        <v>15</v>
      </c>
      <c r="C33" s="27" t="n">
        <f aca="false">Scenarios!R12</f>
        <v>226318832.987748</v>
      </c>
      <c r="D33" s="27" t="n">
        <f aca="false">Scenarios!R23</f>
        <v>294122778.53803</v>
      </c>
      <c r="E33" s="27" t="n">
        <f aca="false">Scenarios!R34</f>
        <v>348222315.70725</v>
      </c>
      <c r="F33" s="27" t="n">
        <f aca="false">Scenarios!R45</f>
        <v>406876655.903777</v>
      </c>
      <c r="G33" s="27" t="n">
        <f aca="false">Scenarios!R56</f>
        <v>182095522.096837</v>
      </c>
    </row>
    <row r="34" customFormat="false" ht="15" hidden="false" customHeight="true" outlineLevel="0" collapsed="false">
      <c r="B34" s="65" t="n">
        <v>16</v>
      </c>
      <c r="C34" s="27" t="n">
        <f aca="false">Scenarios!S12</f>
        <v>226318832.987748</v>
      </c>
      <c r="D34" s="27" t="n">
        <f aca="false">Scenarios!S23</f>
        <v>294122778.53803</v>
      </c>
      <c r="E34" s="27" t="n">
        <f aca="false">Scenarios!S34</f>
        <v>348222315.70725</v>
      </c>
      <c r="F34" s="27" t="n">
        <f aca="false">Scenarios!S45</f>
        <v>406876655.903777</v>
      </c>
      <c r="G34" s="27" t="n">
        <f aca="false">Scenarios!S56</f>
        <v>196784968.372172</v>
      </c>
    </row>
    <row r="35" customFormat="false" ht="15" hidden="false" customHeight="true" outlineLevel="0" collapsed="false">
      <c r="B35" s="65" t="n">
        <v>17</v>
      </c>
      <c r="C35" s="27" t="n">
        <f aca="false">Scenarios!T12</f>
        <v>226318832.987748</v>
      </c>
      <c r="D35" s="27" t="n">
        <f aca="false">Scenarios!T23</f>
        <v>294122778.53803</v>
      </c>
      <c r="E35" s="27" t="n">
        <f aca="false">Scenarios!T34</f>
        <v>348222315.70725</v>
      </c>
      <c r="F35" s="27" t="n">
        <f aca="false">Scenarios!T45</f>
        <v>406876655.903777</v>
      </c>
      <c r="G35" s="27" t="n">
        <f aca="false">Scenarios!T56</f>
        <v>219636514.854513</v>
      </c>
    </row>
    <row r="36" customFormat="false" ht="15" hidden="false" customHeight="true" outlineLevel="0" collapsed="false">
      <c r="B36" s="65" t="n">
        <v>18</v>
      </c>
      <c r="C36" s="27" t="n">
        <f aca="false">Scenarios!U12</f>
        <v>226318832.987748</v>
      </c>
      <c r="D36" s="27" t="n">
        <f aca="false">Scenarios!U23</f>
        <v>294122778.53803</v>
      </c>
      <c r="E36" s="27" t="n">
        <f aca="false">Scenarios!U34</f>
        <v>348222315.70725</v>
      </c>
      <c r="F36" s="27" t="n">
        <f aca="false">Scenarios!U45</f>
        <v>406876655.903777</v>
      </c>
      <c r="G36" s="27" t="n">
        <f aca="false">Scenarios!U56</f>
        <v>243441625.910289</v>
      </c>
    </row>
    <row r="37" customFormat="false" ht="15" hidden="false" customHeight="true" outlineLevel="0" collapsed="false">
      <c r="B37" s="65" t="n">
        <v>19</v>
      </c>
      <c r="C37" s="27" t="n">
        <f aca="false">Scenarios!V12</f>
        <v>226318832.987748</v>
      </c>
      <c r="D37" s="27" t="n">
        <f aca="false">Scenarios!V23</f>
        <v>294122778.53803</v>
      </c>
      <c r="E37" s="27" t="n">
        <f aca="false">Scenarios!V34</f>
        <v>348222315.70725</v>
      </c>
      <c r="F37" s="27" t="n">
        <f aca="false">Scenarios!V45</f>
        <v>406876655.903777</v>
      </c>
      <c r="G37" s="27" t="n">
        <f aca="false">Scenarios!V56</f>
        <v>268238002.853361</v>
      </c>
    </row>
    <row r="38" customFormat="false" ht="15" hidden="false" customHeight="true" outlineLevel="0" collapsed="false">
      <c r="B38" s="65" t="n">
        <v>20</v>
      </c>
      <c r="C38" s="27" t="n">
        <f aca="false">Scenarios!W12</f>
        <v>226318832.987748</v>
      </c>
      <c r="D38" s="27" t="n">
        <f aca="false">Scenarios!W23</f>
        <v>294122778.53803</v>
      </c>
      <c r="E38" s="27" t="n">
        <f aca="false">Scenarios!W34</f>
        <v>348222315.70725</v>
      </c>
      <c r="F38" s="27" t="n">
        <f aca="false">Scenarios!W45</f>
        <v>406876655.903777</v>
      </c>
      <c r="G38" s="27" t="n">
        <f aca="false">Scenarios!W56</f>
        <v>685373414.737564</v>
      </c>
    </row>
    <row r="42" customFormat="false" ht="15" hidden="false" customHeight="true" outlineLevel="0" collapsed="false">
      <c r="B42" s="59" t="s">
        <v>209</v>
      </c>
    </row>
    <row r="43" customFormat="false" ht="15" hidden="false" customHeight="true" outlineLevel="0" collapsed="false">
      <c r="B43" s="64" t="s">
        <v>210</v>
      </c>
      <c r="C43" s="66" t="n">
        <f aca="false">Sensitivity!C13</f>
        <v>0.055</v>
      </c>
      <c r="D43" s="66" t="n">
        <f aca="false">Sensitivity!D13</f>
        <v>0.065</v>
      </c>
      <c r="E43" s="66" t="n">
        <f aca="false">Sensitivity!E13</f>
        <v>0.075</v>
      </c>
      <c r="F43" s="66" t="n">
        <f aca="false">Sensitivity!F13</f>
        <v>0.085</v>
      </c>
      <c r="G43" s="66" t="n">
        <f aca="false">Sensitivity!G13</f>
        <v>0.095</v>
      </c>
    </row>
    <row r="44" customFormat="false" ht="15" hidden="false" customHeight="true" outlineLevel="0" collapsed="false">
      <c r="B44" s="66" t="n">
        <f aca="false">Sensitivity!B14</f>
        <v>0.07</v>
      </c>
      <c r="C44" s="27" t="n">
        <f aca="false">Sensitivity!C14</f>
        <v>225994859.50635</v>
      </c>
      <c r="D44" s="27" t="n">
        <f aca="false">Sensitivity!D14</f>
        <v>197923397.164411</v>
      </c>
      <c r="E44" s="27" t="n">
        <f aca="false">Sensitivity!E14</f>
        <v>177337658.113655</v>
      </c>
      <c r="F44" s="27" t="n">
        <f aca="false">Sensitivity!F14</f>
        <v>161595622.36896</v>
      </c>
      <c r="G44" s="27" t="n">
        <f aca="false">Sensitivity!G14</f>
        <v>149167699.412621</v>
      </c>
    </row>
    <row r="45" customFormat="false" ht="15" hidden="false" customHeight="true" outlineLevel="0" collapsed="false">
      <c r="B45" s="66" t="n">
        <f aca="false">Sensitivity!B15</f>
        <v>0.08</v>
      </c>
      <c r="C45" s="27" t="n">
        <f aca="false">Sensitivity!C15</f>
        <v>205479609.519728</v>
      </c>
      <c r="D45" s="27" t="n">
        <f aca="false">Sensitivity!D15</f>
        <v>179901687.490568</v>
      </c>
      <c r="E45" s="27" t="n">
        <f aca="false">Sensitivity!E15</f>
        <v>161144544.669184</v>
      </c>
      <c r="F45" s="27" t="n">
        <f aca="false">Sensitivity!F15</f>
        <v>146800847.217537</v>
      </c>
      <c r="G45" s="27" t="n">
        <f aca="false">Sensitivity!G15</f>
        <v>135476875.545184</v>
      </c>
    </row>
    <row r="46" customFormat="false" ht="15" hidden="false" customHeight="true" outlineLevel="0" collapsed="false">
      <c r="B46" s="66" t="n">
        <f aca="false">Sensitivity!B16</f>
        <v>0.09</v>
      </c>
      <c r="C46" s="27" t="n">
        <f aca="false">Sensitivity!C16</f>
        <v>186836997.373505</v>
      </c>
      <c r="D46" s="27" t="n">
        <f aca="false">Sensitivity!D16</f>
        <v>163511128.247561</v>
      </c>
      <c r="E46" s="27" t="n">
        <f aca="false">Sensitivity!E16</f>
        <v>146405490.888536</v>
      </c>
      <c r="F46" s="27" t="n">
        <f aca="false">Sensitivity!F16</f>
        <v>133324709.378693</v>
      </c>
      <c r="G46" s="27" t="n">
        <f aca="false">Sensitivity!G16</f>
        <v>122997776.607765</v>
      </c>
    </row>
    <row r="47" customFormat="false" ht="15" hidden="false" customHeight="true" outlineLevel="0" collapsed="false">
      <c r="B47" s="66" t="n">
        <f aca="false">Sensitivity!B17</f>
        <v>0.095</v>
      </c>
      <c r="C47" s="27" t="n">
        <f aca="false">Sensitivity!C17</f>
        <v>178157686.834909</v>
      </c>
      <c r="D47" s="27" t="n">
        <f aca="false">Sensitivity!D17</f>
        <v>155875304.479407</v>
      </c>
      <c r="E47" s="27" t="n">
        <f aca="false">Sensitivity!E17</f>
        <v>139534890.752039</v>
      </c>
      <c r="F47" s="27" t="n">
        <f aca="false">Sensitivity!F17</f>
        <v>127039280.25464</v>
      </c>
      <c r="G47" s="27" t="n">
        <f aca="false">Sensitivity!G17</f>
        <v>117174324.598798</v>
      </c>
    </row>
    <row r="48" customFormat="false" ht="15" hidden="false" customHeight="true" outlineLevel="0" collapsed="false">
      <c r="B48" s="66" t="n">
        <f aca="false">Sensitivity!B18</f>
        <v>0.1</v>
      </c>
      <c r="C48" s="27" t="n">
        <f aca="false">Sensitivity!C18</f>
        <v>169876962.911365</v>
      </c>
      <c r="D48" s="27" t="n">
        <f aca="false">Sensitivity!D18</f>
        <v>148586948.156038</v>
      </c>
      <c r="E48" s="27" t="n">
        <f aca="false">Sensitivity!E18</f>
        <v>132974270.668797</v>
      </c>
      <c r="F48" s="27" t="n">
        <f aca="false">Sensitivity!F18</f>
        <v>121035164.355025</v>
      </c>
      <c r="G48" s="27" t="n">
        <f aca="false">Sensitivity!G18</f>
        <v>111609554.107311</v>
      </c>
    </row>
    <row r="49" customFormat="false" ht="15" hidden="false" customHeight="true" outlineLevel="0" collapsed="false">
      <c r="B49" s="66" t="n">
        <f aca="false">Sensitivity!B19</f>
        <v>0.11</v>
      </c>
      <c r="C49" s="27" t="n">
        <f aca="false">Sensitivity!C19</f>
        <v>154430414.551219</v>
      </c>
      <c r="D49" s="27" t="n">
        <f aca="false">Sensitivity!D19</f>
        <v>134982500.515936</v>
      </c>
      <c r="E49" s="27" t="n">
        <f aca="false">Sensitivity!E19</f>
        <v>120720696.890062</v>
      </c>
      <c r="F49" s="27" t="n">
        <f aca="false">Sensitivity!F19</f>
        <v>109814611.764393</v>
      </c>
      <c r="G49" s="27" t="n">
        <f aca="false">Sensitivity!G19</f>
        <v>101204544.559918</v>
      </c>
    </row>
    <row r="50" customFormat="false" ht="15" hidden="false" customHeight="true" outlineLevel="0" collapsed="false">
      <c r="B50" s="66" t="n">
        <f aca="false">Sensitivity!B20</f>
        <v>0.12</v>
      </c>
      <c r="C50" s="27" t="n">
        <f aca="false">Sensitivity!C20</f>
        <v>140346743.828502</v>
      </c>
      <c r="D50" s="27" t="n">
        <f aca="false">Sensitivity!D20</f>
        <v>122567119.216233</v>
      </c>
      <c r="E50" s="27" t="n">
        <f aca="false">Sensitivity!E20</f>
        <v>109528727.833902</v>
      </c>
      <c r="F50" s="27" t="n">
        <f aca="false">Sensitivity!F20</f>
        <v>99558193.2474142</v>
      </c>
      <c r="G50" s="27" t="n">
        <f aca="false">Sensitivity!G20</f>
        <v>91686718.5738709</v>
      </c>
    </row>
  </sheetData>
  <conditionalFormatting sqref="C44:G50">
    <cfRule type="colorScale" priority="2">
      <colorScale>
        <cfvo type="min" val="0"/>
        <cfvo type="percentile" val="50"/>
        <cfvo type="max" val="0"/>
        <color rgb="FFF8B7B7"/>
        <color rgb="FFFFFFFF"/>
        <color rgb="FFB7E2C8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3" min="3" style="1" width="80"/>
  </cols>
  <sheetData>
    <row r="2" customFormat="false" ht="24" hidden="false" customHeight="true" outlineLevel="0" collapsed="false">
      <c r="B2" s="51" t="s">
        <v>211</v>
      </c>
    </row>
    <row r="4" customFormat="false" ht="15" hidden="false" customHeight="true" outlineLevel="0" collapsed="false">
      <c r="B4" s="12" t="s">
        <v>212</v>
      </c>
      <c r="C4" s="12"/>
    </row>
    <row r="5" customFormat="false" ht="15" hidden="false" customHeight="true" outlineLevel="0" collapsed="false">
      <c r="B5" s="67" t="s">
        <v>161</v>
      </c>
      <c r="C5" s="68" t="s">
        <v>213</v>
      </c>
    </row>
    <row r="6" customFormat="false" ht="15" hidden="false" customHeight="true" outlineLevel="0" collapsed="false">
      <c r="B6" s="67" t="s">
        <v>214</v>
      </c>
      <c r="C6" s="68" t="s">
        <v>215</v>
      </c>
    </row>
    <row r="7" customFormat="false" ht="15" hidden="false" customHeight="true" outlineLevel="0" collapsed="false">
      <c r="B7" s="67" t="s">
        <v>162</v>
      </c>
      <c r="C7" s="68" t="s">
        <v>216</v>
      </c>
    </row>
    <row r="8" customFormat="false" ht="15" hidden="false" customHeight="true" outlineLevel="0" collapsed="false">
      <c r="B8" s="67" t="s">
        <v>189</v>
      </c>
      <c r="C8" s="68" t="s">
        <v>217</v>
      </c>
    </row>
    <row r="10" customFormat="false" ht="15" hidden="false" customHeight="true" outlineLevel="0" collapsed="false">
      <c r="B10" s="12" t="s">
        <v>218</v>
      </c>
      <c r="C10" s="12"/>
    </row>
    <row r="11" customFormat="false" ht="15" hidden="false" customHeight="true" outlineLevel="0" collapsed="false">
      <c r="B11" s="67" t="s">
        <v>219</v>
      </c>
      <c r="C11" s="68" t="s">
        <v>220</v>
      </c>
    </row>
    <row r="12" customFormat="false" ht="15" hidden="false" customHeight="true" outlineLevel="0" collapsed="false">
      <c r="B12" s="67" t="s">
        <v>221</v>
      </c>
      <c r="C12" s="68" t="s">
        <v>222</v>
      </c>
    </row>
    <row r="13" customFormat="false" ht="15" hidden="false" customHeight="true" outlineLevel="0" collapsed="false">
      <c r="B13" s="67" t="s">
        <v>223</v>
      </c>
      <c r="C13" s="68" t="s">
        <v>224</v>
      </c>
    </row>
    <row r="14" customFormat="false" ht="15" hidden="false" customHeight="true" outlineLevel="0" collapsed="false">
      <c r="B14" s="67" t="s">
        <v>225</v>
      </c>
      <c r="C14" s="68" t="s">
        <v>226</v>
      </c>
    </row>
    <row r="16" customFormat="false" ht="15" hidden="false" customHeight="true" outlineLevel="0" collapsed="false">
      <c r="B16" s="12" t="s">
        <v>227</v>
      </c>
      <c r="C16" s="12"/>
    </row>
    <row r="17" customFormat="false" ht="15" hidden="false" customHeight="true" outlineLevel="0" collapsed="false">
      <c r="B17" s="67" t="s">
        <v>228</v>
      </c>
      <c r="C17" s="68" t="s">
        <v>229</v>
      </c>
    </row>
    <row r="18" customFormat="false" ht="15" hidden="false" customHeight="true" outlineLevel="0" collapsed="false">
      <c r="B18" s="67" t="s">
        <v>230</v>
      </c>
      <c r="C18" s="68" t="s">
        <v>231</v>
      </c>
    </row>
    <row r="19" customFormat="false" ht="15" hidden="false" customHeight="true" outlineLevel="0" collapsed="false">
      <c r="B19" s="67" t="s">
        <v>232</v>
      </c>
      <c r="C19" s="68" t="s">
        <v>233</v>
      </c>
    </row>
    <row r="20" customFormat="false" ht="15" hidden="false" customHeight="true" outlineLevel="0" collapsed="false">
      <c r="B20" s="67" t="s">
        <v>234</v>
      </c>
      <c r="C20" s="68" t="s">
        <v>235</v>
      </c>
    </row>
    <row r="22" customFormat="false" ht="15" hidden="false" customHeight="true" outlineLevel="0" collapsed="false">
      <c r="B22" s="12" t="s">
        <v>107</v>
      </c>
      <c r="C22" s="12"/>
    </row>
    <row r="23" customFormat="false" ht="15" hidden="false" customHeight="true" outlineLevel="0" collapsed="false">
      <c r="B23" s="67" t="s">
        <v>236</v>
      </c>
      <c r="C23" s="68" t="s">
        <v>237</v>
      </c>
    </row>
    <row r="24" customFormat="false" ht="15" hidden="false" customHeight="true" outlineLevel="0" collapsed="false">
      <c r="B24" s="67" t="s">
        <v>238</v>
      </c>
      <c r="C24" s="68" t="s">
        <v>239</v>
      </c>
    </row>
    <row r="25" customFormat="false" ht="15" hidden="false" customHeight="true" outlineLevel="0" collapsed="false">
      <c r="B25" s="67" t="s">
        <v>240</v>
      </c>
      <c r="C25" s="68" t="s">
        <v>241</v>
      </c>
    </row>
    <row r="26" customFormat="false" ht="15" hidden="false" customHeight="true" outlineLevel="0" collapsed="false">
      <c r="B26" s="67" t="s">
        <v>120</v>
      </c>
      <c r="C26" s="68" t="s">
        <v>242</v>
      </c>
    </row>
    <row r="27" customFormat="false" ht="15" hidden="false" customHeight="true" outlineLevel="0" collapsed="false">
      <c r="B27" s="67" t="s">
        <v>125</v>
      </c>
      <c r="C27" s="68" t="s">
        <v>243</v>
      </c>
    </row>
    <row r="28" customFormat="false" ht="15" hidden="false" customHeight="true" outlineLevel="0" collapsed="false">
      <c r="B28" s="67" t="s">
        <v>244</v>
      </c>
      <c r="C28" s="68" t="s">
        <v>245</v>
      </c>
    </row>
    <row r="30" customFormat="false" ht="15" hidden="false" customHeight="true" outlineLevel="0" collapsed="false">
      <c r="B30" s="12" t="s">
        <v>246</v>
      </c>
      <c r="C30" s="12"/>
    </row>
    <row r="31" customFormat="false" ht="15" hidden="false" customHeight="true" outlineLevel="0" collapsed="false">
      <c r="B31" s="67" t="s">
        <v>247</v>
      </c>
      <c r="C31" s="68" t="s">
        <v>248</v>
      </c>
    </row>
    <row r="32" customFormat="false" ht="15" hidden="false" customHeight="true" outlineLevel="0" collapsed="false">
      <c r="B32" s="67" t="s">
        <v>249</v>
      </c>
      <c r="C32" s="68" t="s">
        <v>250</v>
      </c>
    </row>
    <row r="33" customFormat="false" ht="15" hidden="false" customHeight="true" outlineLevel="0" collapsed="false">
      <c r="B33" s="67" t="s">
        <v>251</v>
      </c>
      <c r="C33" s="68" t="s">
        <v>252</v>
      </c>
    </row>
    <row r="34" customFormat="false" ht="15" hidden="false" customHeight="true" outlineLevel="0" collapsed="false">
      <c r="B34" s="67" t="s">
        <v>253</v>
      </c>
      <c r="C34" s="68" t="s">
        <v>254</v>
      </c>
    </row>
    <row r="36" customFormat="false" ht="15" hidden="false" customHeight="true" outlineLevel="0" collapsed="false">
      <c r="B36" s="12" t="s">
        <v>255</v>
      </c>
      <c r="C36" s="12"/>
    </row>
    <row r="37" customFormat="false" ht="15" hidden="false" customHeight="true" outlineLevel="0" collapsed="false">
      <c r="B37" s="67" t="s">
        <v>256</v>
      </c>
      <c r="C37" s="68" t="s">
        <v>257</v>
      </c>
    </row>
    <row r="38" customFormat="false" ht="15" hidden="false" customHeight="true" outlineLevel="0" collapsed="false">
      <c r="B38" s="67" t="s">
        <v>258</v>
      </c>
      <c r="C38" s="68" t="s">
        <v>259</v>
      </c>
    </row>
    <row r="39" customFormat="false" ht="15" hidden="false" customHeight="true" outlineLevel="0" collapsed="false">
      <c r="B39" s="67" t="s">
        <v>260</v>
      </c>
      <c r="C39" s="68" t="s">
        <v>261</v>
      </c>
    </row>
    <row r="40" customFormat="false" ht="15" hidden="false" customHeight="true" outlineLevel="0" collapsed="false">
      <c r="B40" s="67" t="s">
        <v>262</v>
      </c>
      <c r="C40" s="68" t="s">
        <v>263</v>
      </c>
    </row>
    <row r="41" customFormat="false" ht="15" hidden="false" customHeight="true" outlineLevel="0" collapsed="false">
      <c r="B41" s="67" t="s">
        <v>264</v>
      </c>
      <c r="C41" s="68" t="s">
        <v>265</v>
      </c>
    </row>
    <row r="43" customFormat="false" ht="15" hidden="false" customHeight="true" outlineLevel="0" collapsed="false">
      <c r="B43" s="12" t="s">
        <v>266</v>
      </c>
      <c r="C43" s="12"/>
    </row>
    <row r="44" customFormat="false" ht="15" hidden="false" customHeight="true" outlineLevel="0" collapsed="false">
      <c r="B44" s="67" t="s">
        <v>267</v>
      </c>
      <c r="C44" s="68" t="s">
        <v>268</v>
      </c>
    </row>
    <row r="45" customFormat="false" ht="15" hidden="false" customHeight="true" outlineLevel="0" collapsed="false">
      <c r="B45" s="67" t="s">
        <v>269</v>
      </c>
      <c r="C45" s="68" t="s">
        <v>270</v>
      </c>
    </row>
    <row r="46" customFormat="false" ht="15" hidden="false" customHeight="true" outlineLevel="0" collapsed="false">
      <c r="B46" s="67" t="s">
        <v>271</v>
      </c>
      <c r="C46" s="68" t="s">
        <v>272</v>
      </c>
    </row>
    <row r="47" customFormat="false" ht="15" hidden="false" customHeight="true" outlineLevel="0" collapsed="false">
      <c r="B47" s="67" t="s">
        <v>273</v>
      </c>
      <c r="C47" s="68" t="s">
        <v>274</v>
      </c>
    </row>
    <row r="48" customFormat="false" ht="15" hidden="false" customHeight="true" outlineLevel="0" collapsed="false">
      <c r="B48" s="67" t="s">
        <v>275</v>
      </c>
      <c r="C48" s="68" t="s">
        <v>276</v>
      </c>
    </row>
    <row r="50" customFormat="false" ht="15" hidden="false" customHeight="true" outlineLevel="0" collapsed="false">
      <c r="B50" s="12" t="s">
        <v>277</v>
      </c>
      <c r="C50" s="12"/>
    </row>
    <row r="51" customFormat="false" ht="15" hidden="false" customHeight="true" outlineLevel="0" collapsed="false">
      <c r="B51" s="67" t="s">
        <v>278</v>
      </c>
      <c r="C51" s="68" t="s">
        <v>279</v>
      </c>
    </row>
    <row r="52" customFormat="false" ht="15" hidden="false" customHeight="true" outlineLevel="0" collapsed="false">
      <c r="B52" s="67" t="s">
        <v>280</v>
      </c>
      <c r="C52" s="68" t="s">
        <v>281</v>
      </c>
    </row>
    <row r="53" customFormat="false" ht="15" hidden="false" customHeight="true" outlineLevel="0" collapsed="false">
      <c r="B53" s="67" t="s">
        <v>282</v>
      </c>
      <c r="C53" s="68" t="s">
        <v>283</v>
      </c>
    </row>
    <row r="54" customFormat="false" ht="15" hidden="false" customHeight="true" outlineLevel="0" collapsed="false">
      <c r="B54" s="67" t="s">
        <v>284</v>
      </c>
      <c r="C54" s="68" t="s">
        <v>285</v>
      </c>
    </row>
    <row r="55" customFormat="false" ht="15" hidden="false" customHeight="true" outlineLevel="0" collapsed="false">
      <c r="B55" s="67" t="s">
        <v>286</v>
      </c>
      <c r="C55" s="68" t="s">
        <v>287</v>
      </c>
    </row>
  </sheetData>
  <mergeCells count="8">
    <mergeCell ref="B4:C4"/>
    <mergeCell ref="B10:C10"/>
    <mergeCell ref="B16:C16"/>
    <mergeCell ref="B22:C22"/>
    <mergeCell ref="B30:C30"/>
    <mergeCell ref="B36:C36"/>
    <mergeCell ref="B43:C43"/>
    <mergeCell ref="B50:C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2026-04-28T03:36:23Z</dcterms:created>
  <dc:creator>openpyxl</dc:creator>
  <dc:description/>
  <dc:language>en-US</dc:language>
  <cp:lastModifiedBy/>
  <dcterms:modified xsi:type="dcterms:W3CDTF">2026-05-03T13:54:04Z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